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980SSD/Data/chapter_4_data/experiment/recipies/"/>
    </mc:Choice>
  </mc:AlternateContent>
  <xr:revisionPtr revIDLastSave="0" documentId="13_ncr:1_{8D6173E3-CBC4-3D47-BF1C-D4D30D184462}" xr6:coauthVersionLast="47" xr6:coauthVersionMax="47" xr10:uidLastSave="{00000000-0000-0000-0000-000000000000}"/>
  <bookViews>
    <workbookView xWindow="10340" yWindow="560" windowWidth="26560" windowHeight="19340" activeTab="1" xr2:uid="{265BF216-3C57-DD4A-9CF5-30036594A453}"/>
  </bookViews>
  <sheets>
    <sheet name="Sheet1" sheetId="1" r:id="rId1"/>
    <sheet name="Recipe" sheetId="3" r:id="rId2"/>
    <sheet name="Concentrati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33" i="2" l="1"/>
  <c r="AQ33" i="2"/>
  <c r="AP33" i="2"/>
  <c r="AO33" i="2"/>
  <c r="AN33" i="2"/>
  <c r="AR32" i="2"/>
  <c r="AQ32" i="2"/>
  <c r="AP32" i="2"/>
  <c r="AO32" i="2"/>
  <c r="AN32" i="2"/>
  <c r="AR31" i="2"/>
  <c r="AQ31" i="2"/>
  <c r="AP31" i="2"/>
  <c r="AO31" i="2"/>
  <c r="AN31" i="2"/>
  <c r="AR30" i="2"/>
  <c r="AQ30" i="2"/>
  <c r="AP30" i="2"/>
  <c r="AO30" i="2"/>
  <c r="AN30" i="2"/>
  <c r="AR29" i="2"/>
  <c r="AQ29" i="2"/>
  <c r="AP29" i="2"/>
  <c r="AO29" i="2"/>
  <c r="AN29" i="2"/>
  <c r="AR27" i="2"/>
  <c r="AQ27" i="2"/>
  <c r="AP27" i="2"/>
  <c r="AO27" i="2"/>
  <c r="AN27" i="2"/>
  <c r="AR26" i="2"/>
  <c r="AQ26" i="2"/>
  <c r="AP26" i="2"/>
  <c r="AO26" i="2"/>
  <c r="AN26" i="2"/>
  <c r="AR25" i="2"/>
  <c r="AQ25" i="2"/>
  <c r="AP25" i="2"/>
  <c r="AO25" i="2"/>
  <c r="AN25" i="2"/>
  <c r="AR24" i="2"/>
  <c r="AQ24" i="2"/>
  <c r="AP24" i="2"/>
  <c r="AO24" i="2"/>
  <c r="AN24" i="2"/>
  <c r="AR23" i="2"/>
  <c r="AQ23" i="2"/>
  <c r="AP23" i="2"/>
  <c r="AO23" i="2"/>
  <c r="AN23" i="2"/>
  <c r="AR21" i="2"/>
  <c r="AQ21" i="2"/>
  <c r="AP21" i="2"/>
  <c r="AO21" i="2"/>
  <c r="AN21" i="2"/>
  <c r="AR20" i="2"/>
  <c r="AQ20" i="2"/>
  <c r="AP20" i="2"/>
  <c r="AO20" i="2"/>
  <c r="AN20" i="2"/>
  <c r="AR19" i="2"/>
  <c r="AQ19" i="2"/>
  <c r="AP19" i="2"/>
  <c r="AO19" i="2"/>
  <c r="AN19" i="2"/>
  <c r="AR18" i="2"/>
  <c r="AQ18" i="2"/>
  <c r="AP18" i="2"/>
  <c r="AO18" i="2"/>
  <c r="AN18" i="2"/>
  <c r="AR17" i="2"/>
  <c r="AQ17" i="2"/>
  <c r="AP17" i="2"/>
  <c r="AO17" i="2"/>
  <c r="AN17" i="2"/>
  <c r="AR15" i="2"/>
  <c r="AQ15" i="2"/>
  <c r="AP15" i="2"/>
  <c r="AO15" i="2"/>
  <c r="AN15" i="2"/>
  <c r="AR14" i="2"/>
  <c r="AQ14" i="2"/>
  <c r="AP14" i="2"/>
  <c r="AO14" i="2"/>
  <c r="AN14" i="2"/>
  <c r="AR13" i="2"/>
  <c r="AQ13" i="2"/>
  <c r="AP13" i="2"/>
  <c r="AO13" i="2"/>
  <c r="AN13" i="2"/>
  <c r="AR12" i="2"/>
  <c r="AQ12" i="2"/>
  <c r="AP12" i="2"/>
  <c r="AO12" i="2"/>
  <c r="AN12" i="2"/>
  <c r="AR11" i="2"/>
  <c r="AQ11" i="2"/>
  <c r="AP11" i="2"/>
  <c r="AO11" i="2"/>
  <c r="AN11" i="2"/>
  <c r="AR9" i="2"/>
  <c r="AQ9" i="2"/>
  <c r="AP9" i="2"/>
  <c r="AO9" i="2"/>
  <c r="AN9" i="2"/>
  <c r="AR8" i="2"/>
  <c r="AQ8" i="2"/>
  <c r="AP8" i="2"/>
  <c r="AO8" i="2"/>
  <c r="AN8" i="2"/>
  <c r="AR7" i="2"/>
  <c r="AQ7" i="2"/>
  <c r="AP7" i="2"/>
  <c r="AO7" i="2"/>
  <c r="AN7" i="2"/>
  <c r="AR6" i="2"/>
  <c r="AQ6" i="2"/>
  <c r="AP6" i="2"/>
  <c r="AO6" i="2"/>
  <c r="AN6" i="2"/>
  <c r="AR5" i="2"/>
  <c r="AQ5" i="2"/>
  <c r="AP5" i="2"/>
  <c r="AO5" i="2"/>
  <c r="AN5" i="2"/>
  <c r="AF33" i="2"/>
  <c r="AE33" i="2"/>
  <c r="AD33" i="2"/>
  <c r="AC33" i="2"/>
  <c r="AB33" i="2"/>
  <c r="AF32" i="2"/>
  <c r="AE32" i="2"/>
  <c r="AD32" i="2"/>
  <c r="AC32" i="2"/>
  <c r="AB32" i="2"/>
  <c r="AF31" i="2"/>
  <c r="AE31" i="2"/>
  <c r="AD31" i="2"/>
  <c r="AC31" i="2"/>
  <c r="AB31" i="2"/>
  <c r="AF30" i="2"/>
  <c r="AE30" i="2"/>
  <c r="AD30" i="2"/>
  <c r="AC30" i="2"/>
  <c r="AB30" i="2"/>
  <c r="AF29" i="2"/>
  <c r="AE29" i="2"/>
  <c r="AD29" i="2"/>
  <c r="AC29" i="2"/>
  <c r="AB29" i="2"/>
  <c r="AF27" i="2"/>
  <c r="AE27" i="2"/>
  <c r="AD27" i="2"/>
  <c r="AC27" i="2"/>
  <c r="AB27" i="2"/>
  <c r="AF26" i="2"/>
  <c r="AE26" i="2"/>
  <c r="AD26" i="2"/>
  <c r="AC26" i="2"/>
  <c r="AB26" i="2"/>
  <c r="AF25" i="2"/>
  <c r="AE25" i="2"/>
  <c r="AD25" i="2"/>
  <c r="AC25" i="2"/>
  <c r="AB25" i="2"/>
  <c r="AF24" i="2"/>
  <c r="AE24" i="2"/>
  <c r="AD24" i="2"/>
  <c r="AC24" i="2"/>
  <c r="AB24" i="2"/>
  <c r="AF23" i="2"/>
  <c r="AE23" i="2"/>
  <c r="AD23" i="2"/>
  <c r="AC23" i="2"/>
  <c r="AB23" i="2"/>
  <c r="AF21" i="2"/>
  <c r="AE21" i="2"/>
  <c r="AD21" i="2"/>
  <c r="AC21" i="2"/>
  <c r="AB21" i="2"/>
  <c r="AF20" i="2"/>
  <c r="AE20" i="2"/>
  <c r="AD20" i="2"/>
  <c r="AC20" i="2"/>
  <c r="AB20" i="2"/>
  <c r="AF19" i="2"/>
  <c r="AE19" i="2"/>
  <c r="AD19" i="2"/>
  <c r="AC19" i="2"/>
  <c r="AB19" i="2"/>
  <c r="AF18" i="2"/>
  <c r="AE18" i="2"/>
  <c r="AD18" i="2"/>
  <c r="AC18" i="2"/>
  <c r="AB18" i="2"/>
  <c r="AF17" i="2"/>
  <c r="AE17" i="2"/>
  <c r="AD17" i="2"/>
  <c r="AC17" i="2"/>
  <c r="AB17" i="2"/>
  <c r="AF15" i="2"/>
  <c r="AE15" i="2"/>
  <c r="AD15" i="2"/>
  <c r="AC15" i="2"/>
  <c r="AB15" i="2"/>
  <c r="AF14" i="2"/>
  <c r="AE14" i="2"/>
  <c r="AD14" i="2"/>
  <c r="AC14" i="2"/>
  <c r="AB14" i="2"/>
  <c r="AF13" i="2"/>
  <c r="AE13" i="2"/>
  <c r="AD13" i="2"/>
  <c r="AC13" i="2"/>
  <c r="AB13" i="2"/>
  <c r="AF12" i="2"/>
  <c r="AE12" i="2"/>
  <c r="AD12" i="2"/>
  <c r="AC12" i="2"/>
  <c r="AB12" i="2"/>
  <c r="AF11" i="2"/>
  <c r="AE11" i="2"/>
  <c r="AD11" i="2"/>
  <c r="AC11" i="2"/>
  <c r="AB11" i="2"/>
  <c r="AF9" i="2"/>
  <c r="AE9" i="2"/>
  <c r="AD9" i="2"/>
  <c r="AC9" i="2"/>
  <c r="AB9" i="2"/>
  <c r="AF8" i="2"/>
  <c r="AE8" i="2"/>
  <c r="AD8" i="2"/>
  <c r="AC8" i="2"/>
  <c r="AB8" i="2"/>
  <c r="AF7" i="2"/>
  <c r="AE7" i="2"/>
  <c r="AD7" i="2"/>
  <c r="AC7" i="2"/>
  <c r="AB7" i="2"/>
  <c r="AF6" i="2"/>
  <c r="AE6" i="2"/>
  <c r="AD6" i="2"/>
  <c r="AC6" i="2"/>
  <c r="AB6" i="2"/>
  <c r="AF5" i="2"/>
  <c r="AE5" i="2"/>
  <c r="AD5" i="2"/>
  <c r="AC5" i="2"/>
  <c r="AB5" i="2"/>
  <c r="AX33" i="2"/>
  <c r="AW33" i="2"/>
  <c r="AV33" i="2"/>
  <c r="AU33" i="2"/>
  <c r="AT33" i="2"/>
  <c r="AX32" i="2"/>
  <c r="AW32" i="2"/>
  <c r="AV32" i="2"/>
  <c r="AU32" i="2"/>
  <c r="AT32" i="2"/>
  <c r="AX31" i="2"/>
  <c r="AW31" i="2"/>
  <c r="AV31" i="2"/>
  <c r="AU31" i="2"/>
  <c r="AT31" i="2"/>
  <c r="AX30" i="2"/>
  <c r="AW30" i="2"/>
  <c r="AV30" i="2"/>
  <c r="AU30" i="2"/>
  <c r="AT30" i="2"/>
  <c r="AX29" i="2"/>
  <c r="AW29" i="2"/>
  <c r="AV29" i="2"/>
  <c r="AU29" i="2"/>
  <c r="AT29" i="2"/>
  <c r="AX27" i="2"/>
  <c r="AW27" i="2"/>
  <c r="AV27" i="2"/>
  <c r="AU27" i="2"/>
  <c r="AT27" i="2"/>
  <c r="AX26" i="2"/>
  <c r="AW26" i="2"/>
  <c r="AV26" i="2"/>
  <c r="AU26" i="2"/>
  <c r="AT26" i="2"/>
  <c r="AX25" i="2"/>
  <c r="AW25" i="2"/>
  <c r="AV25" i="2"/>
  <c r="AU25" i="2"/>
  <c r="AT25" i="2"/>
  <c r="AX24" i="2"/>
  <c r="AW24" i="2"/>
  <c r="AV24" i="2"/>
  <c r="AU24" i="2"/>
  <c r="AT24" i="2"/>
  <c r="AX23" i="2"/>
  <c r="AW23" i="2"/>
  <c r="AV23" i="2"/>
  <c r="AU23" i="2"/>
  <c r="AT23" i="2"/>
  <c r="AX21" i="2"/>
  <c r="AW21" i="2"/>
  <c r="AV21" i="2"/>
  <c r="AU21" i="2"/>
  <c r="AT21" i="2"/>
  <c r="AX20" i="2"/>
  <c r="AW20" i="2"/>
  <c r="AV20" i="2"/>
  <c r="AU20" i="2"/>
  <c r="AT20" i="2"/>
  <c r="AX19" i="2"/>
  <c r="AW19" i="2"/>
  <c r="AV19" i="2"/>
  <c r="AU19" i="2"/>
  <c r="AT19" i="2"/>
  <c r="AX18" i="2"/>
  <c r="AW18" i="2"/>
  <c r="AV18" i="2"/>
  <c r="AU18" i="2"/>
  <c r="AT18" i="2"/>
  <c r="AX17" i="2"/>
  <c r="AW17" i="2"/>
  <c r="AV17" i="2"/>
  <c r="AU17" i="2"/>
  <c r="AT17" i="2"/>
  <c r="AX15" i="2"/>
  <c r="AW15" i="2"/>
  <c r="AV15" i="2"/>
  <c r="AU15" i="2"/>
  <c r="AT15" i="2"/>
  <c r="AX14" i="2"/>
  <c r="AW14" i="2"/>
  <c r="AV14" i="2"/>
  <c r="AU14" i="2"/>
  <c r="AT14" i="2"/>
  <c r="AX13" i="2"/>
  <c r="AW13" i="2"/>
  <c r="AV13" i="2"/>
  <c r="AU13" i="2"/>
  <c r="AT13" i="2"/>
  <c r="AX12" i="2"/>
  <c r="AW12" i="2"/>
  <c r="AV12" i="2"/>
  <c r="AU12" i="2"/>
  <c r="AT12" i="2"/>
  <c r="AX11" i="2"/>
  <c r="AW11" i="2"/>
  <c r="AV11" i="2"/>
  <c r="AU11" i="2"/>
  <c r="AT11" i="2"/>
  <c r="AT6" i="2"/>
  <c r="AU6" i="2"/>
  <c r="AV6" i="2"/>
  <c r="AW6" i="2"/>
  <c r="AX6" i="2"/>
  <c r="AT7" i="2"/>
  <c r="AU7" i="2"/>
  <c r="AV7" i="2"/>
  <c r="AW7" i="2"/>
  <c r="AX7" i="2"/>
  <c r="AT8" i="2"/>
  <c r="AU8" i="2"/>
  <c r="AV8" i="2"/>
  <c r="AW8" i="2"/>
  <c r="AX8" i="2"/>
  <c r="AT9" i="2"/>
  <c r="AU9" i="2"/>
  <c r="AV9" i="2"/>
  <c r="AW9" i="2"/>
  <c r="AX9" i="2"/>
  <c r="AX5" i="2"/>
  <c r="AW5" i="2"/>
  <c r="AV5" i="2"/>
  <c r="AU5" i="2"/>
  <c r="AT5" i="2"/>
  <c r="AL33" i="2"/>
  <c r="AK33" i="2"/>
  <c r="AJ33" i="2"/>
  <c r="AI33" i="2"/>
  <c r="AH33" i="2"/>
  <c r="AL32" i="2"/>
  <c r="AK32" i="2"/>
  <c r="AJ32" i="2"/>
  <c r="AI32" i="2"/>
  <c r="AH32" i="2"/>
  <c r="AL31" i="2"/>
  <c r="AK31" i="2"/>
  <c r="AJ31" i="2"/>
  <c r="AI31" i="2"/>
  <c r="AH31" i="2"/>
  <c r="AL30" i="2"/>
  <c r="AK30" i="2"/>
  <c r="AJ30" i="2"/>
  <c r="AI30" i="2"/>
  <c r="AH30" i="2"/>
  <c r="AL29" i="2"/>
  <c r="AK29" i="2"/>
  <c r="AJ29" i="2"/>
  <c r="AI29" i="2"/>
  <c r="AH29" i="2"/>
  <c r="AL27" i="2"/>
  <c r="AK27" i="2"/>
  <c r="AJ27" i="2"/>
  <c r="AI27" i="2"/>
  <c r="AH27" i="2"/>
  <c r="AL26" i="2"/>
  <c r="AK26" i="2"/>
  <c r="AJ26" i="2"/>
  <c r="AI26" i="2"/>
  <c r="AH26" i="2"/>
  <c r="AL25" i="2"/>
  <c r="AK25" i="2"/>
  <c r="AJ25" i="2"/>
  <c r="AI25" i="2"/>
  <c r="AH25" i="2"/>
  <c r="AL24" i="2"/>
  <c r="AK24" i="2"/>
  <c r="AJ24" i="2"/>
  <c r="AI24" i="2"/>
  <c r="AH24" i="2"/>
  <c r="AL23" i="2"/>
  <c r="AK23" i="2"/>
  <c r="AJ23" i="2"/>
  <c r="AI23" i="2"/>
  <c r="AH23" i="2"/>
  <c r="AL21" i="2"/>
  <c r="AK21" i="2"/>
  <c r="AJ21" i="2"/>
  <c r="AI21" i="2"/>
  <c r="AH21" i="2"/>
  <c r="AL20" i="2"/>
  <c r="AK20" i="2"/>
  <c r="AJ20" i="2"/>
  <c r="AI20" i="2"/>
  <c r="AH20" i="2"/>
  <c r="AL19" i="2"/>
  <c r="AK19" i="2"/>
  <c r="AJ19" i="2"/>
  <c r="AI19" i="2"/>
  <c r="AH19" i="2"/>
  <c r="AL18" i="2"/>
  <c r="AK18" i="2"/>
  <c r="AJ18" i="2"/>
  <c r="AI18" i="2"/>
  <c r="AH18" i="2"/>
  <c r="AL17" i="2"/>
  <c r="AK17" i="2"/>
  <c r="AJ17" i="2"/>
  <c r="AI17" i="2"/>
  <c r="AH17" i="2"/>
  <c r="AL15" i="2"/>
  <c r="AK15" i="2"/>
  <c r="AJ15" i="2"/>
  <c r="AI15" i="2"/>
  <c r="AH15" i="2"/>
  <c r="AL14" i="2"/>
  <c r="AK14" i="2"/>
  <c r="AJ14" i="2"/>
  <c r="AI14" i="2"/>
  <c r="AH14" i="2"/>
  <c r="AL13" i="2"/>
  <c r="AK13" i="2"/>
  <c r="AJ13" i="2"/>
  <c r="AI13" i="2"/>
  <c r="AH13" i="2"/>
  <c r="AL12" i="2"/>
  <c r="AK12" i="2"/>
  <c r="AJ12" i="2"/>
  <c r="AI12" i="2"/>
  <c r="AH12" i="2"/>
  <c r="AL11" i="2"/>
  <c r="AK11" i="2"/>
  <c r="AJ11" i="2"/>
  <c r="AI11" i="2"/>
  <c r="AH11" i="2"/>
  <c r="AI5" i="2"/>
  <c r="AJ5" i="2"/>
  <c r="AK5" i="2"/>
  <c r="AL5" i="2"/>
  <c r="AI6" i="2"/>
  <c r="AJ6" i="2"/>
  <c r="AK6" i="2"/>
  <c r="AL6" i="2"/>
  <c r="AI7" i="2"/>
  <c r="AJ7" i="2"/>
  <c r="AK7" i="2"/>
  <c r="AL7" i="2"/>
  <c r="AI8" i="2"/>
  <c r="AJ8" i="2"/>
  <c r="AK8" i="2"/>
  <c r="AL8" i="2"/>
  <c r="AI9" i="2"/>
  <c r="AJ9" i="2"/>
  <c r="AK9" i="2"/>
  <c r="AL9" i="2"/>
  <c r="AH9" i="2"/>
  <c r="AH8" i="2"/>
  <c r="AH7" i="2"/>
  <c r="AH6" i="2"/>
  <c r="AH5" i="2"/>
  <c r="V30" i="2"/>
  <c r="W30" i="2"/>
  <c r="X30" i="2"/>
  <c r="Y30" i="2"/>
  <c r="Z30" i="2"/>
  <c r="V31" i="2"/>
  <c r="W31" i="2"/>
  <c r="X31" i="2"/>
  <c r="Y31" i="2"/>
  <c r="Z31" i="2"/>
  <c r="V32" i="2"/>
  <c r="W32" i="2"/>
  <c r="X32" i="2"/>
  <c r="Y32" i="2"/>
  <c r="Z32" i="2"/>
  <c r="V33" i="2"/>
  <c r="W33" i="2"/>
  <c r="X33" i="2"/>
  <c r="Y33" i="2"/>
  <c r="Z33" i="2"/>
  <c r="W29" i="2"/>
  <c r="X29" i="2"/>
  <c r="Y29" i="2"/>
  <c r="Z29" i="2"/>
  <c r="V29" i="2"/>
  <c r="V24" i="2"/>
  <c r="W24" i="2"/>
  <c r="X24" i="2"/>
  <c r="Y24" i="2"/>
  <c r="Z24" i="2"/>
  <c r="V25" i="2"/>
  <c r="W25" i="2"/>
  <c r="X25" i="2"/>
  <c r="Y25" i="2"/>
  <c r="Z25" i="2"/>
  <c r="V26" i="2"/>
  <c r="W26" i="2"/>
  <c r="X26" i="2"/>
  <c r="Y26" i="2"/>
  <c r="Z26" i="2"/>
  <c r="V27" i="2"/>
  <c r="W27" i="2"/>
  <c r="X27" i="2"/>
  <c r="Y27" i="2"/>
  <c r="Z27" i="2"/>
  <c r="W23" i="2"/>
  <c r="X23" i="2"/>
  <c r="Y23" i="2"/>
  <c r="Z23" i="2"/>
  <c r="V23" i="2"/>
  <c r="V18" i="2"/>
  <c r="W18" i="2"/>
  <c r="X18" i="2"/>
  <c r="Y18" i="2"/>
  <c r="Z18" i="2"/>
  <c r="V19" i="2"/>
  <c r="W19" i="2"/>
  <c r="X19" i="2"/>
  <c r="Y19" i="2"/>
  <c r="Z19" i="2"/>
  <c r="V20" i="2"/>
  <c r="W20" i="2"/>
  <c r="X20" i="2"/>
  <c r="Y20" i="2"/>
  <c r="Z20" i="2"/>
  <c r="V21" i="2"/>
  <c r="W21" i="2"/>
  <c r="X21" i="2"/>
  <c r="Y21" i="2"/>
  <c r="Z21" i="2"/>
  <c r="W17" i="2"/>
  <c r="X17" i="2"/>
  <c r="Y17" i="2"/>
  <c r="Z17" i="2"/>
  <c r="V17" i="2"/>
  <c r="V12" i="2"/>
  <c r="W12" i="2"/>
  <c r="X12" i="2"/>
  <c r="Y12" i="2"/>
  <c r="Z12" i="2"/>
  <c r="V13" i="2"/>
  <c r="W13" i="2"/>
  <c r="X13" i="2"/>
  <c r="Y13" i="2"/>
  <c r="Z13" i="2"/>
  <c r="V14" i="2"/>
  <c r="W14" i="2"/>
  <c r="X14" i="2"/>
  <c r="Y14" i="2"/>
  <c r="Z14" i="2"/>
  <c r="V15" i="2"/>
  <c r="W15" i="2"/>
  <c r="X15" i="2"/>
  <c r="Y15" i="2"/>
  <c r="Z15" i="2"/>
  <c r="W11" i="2"/>
  <c r="X11" i="2"/>
  <c r="Y11" i="2"/>
  <c r="Z11" i="2"/>
  <c r="V11" i="2"/>
  <c r="V6" i="2"/>
  <c r="W6" i="2"/>
  <c r="X6" i="2"/>
  <c r="Y6" i="2"/>
  <c r="Z6" i="2"/>
  <c r="V7" i="2"/>
  <c r="W7" i="2"/>
  <c r="X7" i="2"/>
  <c r="Y7" i="2"/>
  <c r="Z7" i="2"/>
  <c r="V8" i="2"/>
  <c r="W8" i="2"/>
  <c r="X8" i="2"/>
  <c r="Y8" i="2"/>
  <c r="Z8" i="2"/>
  <c r="V9" i="2"/>
  <c r="W9" i="2"/>
  <c r="X9" i="2"/>
  <c r="Y9" i="2"/>
  <c r="Z9" i="2"/>
  <c r="W5" i="2"/>
  <c r="X5" i="2"/>
  <c r="Y5" i="2"/>
  <c r="Z5" i="2"/>
  <c r="V5" i="2"/>
  <c r="T33" i="2"/>
  <c r="S33" i="2"/>
  <c r="R33" i="2"/>
  <c r="Q33" i="2"/>
  <c r="P33" i="2"/>
  <c r="T32" i="2"/>
  <c r="S32" i="2"/>
  <c r="R32" i="2"/>
  <c r="Q32" i="2"/>
  <c r="P32" i="2"/>
  <c r="T31" i="2"/>
  <c r="S31" i="2"/>
  <c r="R31" i="2"/>
  <c r="Q31" i="2"/>
  <c r="P31" i="2"/>
  <c r="T30" i="2"/>
  <c r="S30" i="2"/>
  <c r="R30" i="2"/>
  <c r="Q30" i="2"/>
  <c r="P30" i="2"/>
  <c r="T29" i="2"/>
  <c r="S29" i="2"/>
  <c r="R29" i="2"/>
  <c r="Q29" i="2"/>
  <c r="P29" i="2"/>
  <c r="J30" i="2"/>
  <c r="K30" i="2"/>
  <c r="L30" i="2"/>
  <c r="M30" i="2"/>
  <c r="N30" i="2"/>
  <c r="J31" i="2"/>
  <c r="K31" i="2"/>
  <c r="L31" i="2"/>
  <c r="M31" i="2"/>
  <c r="N31" i="2"/>
  <c r="J32" i="2"/>
  <c r="K32" i="2"/>
  <c r="L32" i="2"/>
  <c r="M32" i="2"/>
  <c r="N32" i="2"/>
  <c r="J33" i="2"/>
  <c r="K33" i="2"/>
  <c r="L33" i="2"/>
  <c r="M33" i="2"/>
  <c r="N33" i="2"/>
  <c r="K29" i="2"/>
  <c r="L29" i="2"/>
  <c r="M29" i="2"/>
  <c r="N29" i="2"/>
  <c r="J29" i="2"/>
  <c r="T27" i="2"/>
  <c r="S27" i="2"/>
  <c r="R27" i="2"/>
  <c r="Q27" i="2"/>
  <c r="P27" i="2"/>
  <c r="T26" i="2"/>
  <c r="S26" i="2"/>
  <c r="R26" i="2"/>
  <c r="Q26" i="2"/>
  <c r="P26" i="2"/>
  <c r="T25" i="2"/>
  <c r="S25" i="2"/>
  <c r="R25" i="2"/>
  <c r="Q25" i="2"/>
  <c r="P25" i="2"/>
  <c r="T24" i="2"/>
  <c r="S24" i="2"/>
  <c r="R24" i="2"/>
  <c r="Q24" i="2"/>
  <c r="P24" i="2"/>
  <c r="T23" i="2"/>
  <c r="S23" i="2"/>
  <c r="R23" i="2"/>
  <c r="Q23" i="2"/>
  <c r="P23" i="2"/>
  <c r="J24" i="2"/>
  <c r="K24" i="2"/>
  <c r="L24" i="2"/>
  <c r="M24" i="2"/>
  <c r="N24" i="2"/>
  <c r="J25" i="2"/>
  <c r="K25" i="2"/>
  <c r="L25" i="2"/>
  <c r="M25" i="2"/>
  <c r="N25" i="2"/>
  <c r="J26" i="2"/>
  <c r="K26" i="2"/>
  <c r="L26" i="2"/>
  <c r="M26" i="2"/>
  <c r="N26" i="2"/>
  <c r="J27" i="2"/>
  <c r="K27" i="2"/>
  <c r="L27" i="2"/>
  <c r="M27" i="2"/>
  <c r="N27" i="2"/>
  <c r="K23" i="2"/>
  <c r="L23" i="2"/>
  <c r="M23" i="2"/>
  <c r="N23" i="2"/>
  <c r="J23" i="2"/>
  <c r="T21" i="2"/>
  <c r="S21" i="2"/>
  <c r="R21" i="2"/>
  <c r="Q21" i="2"/>
  <c r="P21" i="2"/>
  <c r="T20" i="2"/>
  <c r="S20" i="2"/>
  <c r="R20" i="2"/>
  <c r="Q20" i="2"/>
  <c r="P20" i="2"/>
  <c r="T19" i="2"/>
  <c r="S19" i="2"/>
  <c r="R19" i="2"/>
  <c r="Q19" i="2"/>
  <c r="P19" i="2"/>
  <c r="T18" i="2"/>
  <c r="S18" i="2"/>
  <c r="R18" i="2"/>
  <c r="Q18" i="2"/>
  <c r="P18" i="2"/>
  <c r="T17" i="2"/>
  <c r="S17" i="2"/>
  <c r="R17" i="2"/>
  <c r="Q17" i="2"/>
  <c r="P17" i="2"/>
  <c r="J18" i="2"/>
  <c r="K18" i="2"/>
  <c r="L18" i="2"/>
  <c r="M18" i="2"/>
  <c r="N18" i="2"/>
  <c r="J19" i="2"/>
  <c r="K19" i="2"/>
  <c r="L19" i="2"/>
  <c r="M19" i="2"/>
  <c r="N19" i="2"/>
  <c r="J20" i="2"/>
  <c r="K20" i="2"/>
  <c r="L20" i="2"/>
  <c r="M20" i="2"/>
  <c r="N20" i="2"/>
  <c r="J21" i="2"/>
  <c r="K21" i="2"/>
  <c r="L21" i="2"/>
  <c r="M21" i="2"/>
  <c r="N21" i="2"/>
  <c r="K17" i="2"/>
  <c r="L17" i="2"/>
  <c r="M17" i="2"/>
  <c r="N17" i="2"/>
  <c r="J17" i="2"/>
  <c r="T15" i="2"/>
  <c r="S15" i="2"/>
  <c r="R15" i="2"/>
  <c r="Q15" i="2"/>
  <c r="P15" i="2"/>
  <c r="T14" i="2"/>
  <c r="S14" i="2"/>
  <c r="R14" i="2"/>
  <c r="Q14" i="2"/>
  <c r="P14" i="2"/>
  <c r="T13" i="2"/>
  <c r="S13" i="2"/>
  <c r="R13" i="2"/>
  <c r="Q13" i="2"/>
  <c r="P13" i="2"/>
  <c r="T12" i="2"/>
  <c r="S12" i="2"/>
  <c r="R12" i="2"/>
  <c r="Q12" i="2"/>
  <c r="P12" i="2"/>
  <c r="T11" i="2"/>
  <c r="S11" i="2"/>
  <c r="R11" i="2"/>
  <c r="Q11" i="2"/>
  <c r="P11" i="2"/>
  <c r="J12" i="2"/>
  <c r="K12" i="2"/>
  <c r="L12" i="2"/>
  <c r="M12" i="2"/>
  <c r="N12" i="2"/>
  <c r="J13" i="2"/>
  <c r="K13" i="2"/>
  <c r="L13" i="2"/>
  <c r="M13" i="2"/>
  <c r="N13" i="2"/>
  <c r="J14" i="2"/>
  <c r="K14" i="2"/>
  <c r="L14" i="2"/>
  <c r="M14" i="2"/>
  <c r="N14" i="2"/>
  <c r="J15" i="2"/>
  <c r="K15" i="2"/>
  <c r="L15" i="2"/>
  <c r="M15" i="2"/>
  <c r="N15" i="2"/>
  <c r="K11" i="2"/>
  <c r="L11" i="2"/>
  <c r="M11" i="2"/>
  <c r="N11" i="2"/>
  <c r="J11" i="2"/>
  <c r="T9" i="2"/>
  <c r="S9" i="2"/>
  <c r="R9" i="2"/>
  <c r="Q9" i="2"/>
  <c r="P9" i="2"/>
  <c r="T8" i="2"/>
  <c r="S8" i="2"/>
  <c r="R8" i="2"/>
  <c r="Q8" i="2"/>
  <c r="P8" i="2"/>
  <c r="T7" i="2"/>
  <c r="S7" i="2"/>
  <c r="R7" i="2"/>
  <c r="Q7" i="2"/>
  <c r="P7" i="2"/>
  <c r="T6" i="2"/>
  <c r="S6" i="2"/>
  <c r="R6" i="2"/>
  <c r="Q6" i="2"/>
  <c r="P6" i="2"/>
  <c r="T5" i="2"/>
  <c r="S5" i="2"/>
  <c r="R5" i="2"/>
  <c r="Q5" i="2"/>
  <c r="P5" i="2"/>
  <c r="J6" i="2"/>
  <c r="K6" i="2"/>
  <c r="L6" i="2"/>
  <c r="M6" i="2"/>
  <c r="N6" i="2"/>
  <c r="J7" i="2"/>
  <c r="K7" i="2"/>
  <c r="L7" i="2"/>
  <c r="M7" i="2"/>
  <c r="N7" i="2"/>
  <c r="J8" i="2"/>
  <c r="K8" i="2"/>
  <c r="L8" i="2"/>
  <c r="M8" i="2"/>
  <c r="N8" i="2"/>
  <c r="J9" i="2"/>
  <c r="K9" i="2"/>
  <c r="L9" i="2"/>
  <c r="M9" i="2"/>
  <c r="N9" i="2"/>
  <c r="K5" i="2"/>
  <c r="L5" i="2"/>
  <c r="M5" i="2"/>
  <c r="N5" i="2"/>
  <c r="J5" i="2"/>
  <c r="AN31" i="1"/>
  <c r="AO31" i="1"/>
  <c r="AP31" i="1"/>
  <c r="AQ31" i="1"/>
  <c r="AR31" i="1"/>
  <c r="AN32" i="1"/>
  <c r="AO32" i="1"/>
  <c r="AP32" i="1"/>
  <c r="AQ32" i="1"/>
  <c r="AR32" i="1"/>
  <c r="AN33" i="1"/>
  <c r="AO33" i="1"/>
  <c r="AP33" i="1"/>
  <c r="AQ33" i="1"/>
  <c r="AR33" i="1"/>
  <c r="AN34" i="1"/>
  <c r="AO34" i="1"/>
  <c r="AP34" i="1"/>
  <c r="AQ34" i="1"/>
  <c r="AR34" i="1"/>
  <c r="AN35" i="1"/>
  <c r="AO35" i="1"/>
  <c r="AP35" i="1"/>
  <c r="AQ35" i="1"/>
  <c r="AR35" i="1"/>
  <c r="AN19" i="1"/>
  <c r="AO19" i="1"/>
  <c r="AP19" i="1"/>
  <c r="AQ19" i="1"/>
  <c r="AR19" i="1"/>
  <c r="AN20" i="1"/>
  <c r="AO20" i="1"/>
  <c r="AP20" i="1"/>
  <c r="AQ20" i="1"/>
  <c r="AR20" i="1"/>
  <c r="AN21" i="1"/>
  <c r="AO21" i="1"/>
  <c r="AP21" i="1"/>
  <c r="AQ21" i="1"/>
  <c r="AR21" i="1"/>
  <c r="AN22" i="1"/>
  <c r="AO22" i="1"/>
  <c r="AP22" i="1"/>
  <c r="AQ22" i="1"/>
  <c r="AR22" i="1"/>
  <c r="AN23" i="1"/>
  <c r="AO23" i="1"/>
  <c r="AP23" i="1"/>
  <c r="AQ23" i="1"/>
  <c r="AR23" i="1"/>
  <c r="AN25" i="1"/>
  <c r="AO25" i="1"/>
  <c r="AP25" i="1"/>
  <c r="AQ25" i="1"/>
  <c r="AR25" i="1"/>
  <c r="AN26" i="1"/>
  <c r="AO26" i="1"/>
  <c r="AP26" i="1"/>
  <c r="AQ26" i="1"/>
  <c r="AR26" i="1"/>
  <c r="AN27" i="1"/>
  <c r="AO27" i="1"/>
  <c r="AP27" i="1"/>
  <c r="AQ27" i="1"/>
  <c r="AR27" i="1"/>
  <c r="AN28" i="1"/>
  <c r="AO28" i="1"/>
  <c r="AP28" i="1"/>
  <c r="AQ28" i="1"/>
  <c r="AR28" i="1"/>
  <c r="AN29" i="1"/>
  <c r="AO29" i="1"/>
  <c r="AP29" i="1"/>
  <c r="AQ29" i="1"/>
  <c r="AR29" i="1"/>
  <c r="AN15" i="1"/>
  <c r="AO15" i="1"/>
  <c r="AP15" i="1"/>
  <c r="AQ15" i="1"/>
  <c r="AR15" i="1"/>
  <c r="AN16" i="1"/>
  <c r="AO16" i="1"/>
  <c r="AP16" i="1"/>
  <c r="AQ16" i="1"/>
  <c r="AR16" i="1"/>
  <c r="AN17" i="1"/>
  <c r="AO17" i="1"/>
  <c r="AP17" i="1"/>
  <c r="AQ17" i="1"/>
  <c r="AR17" i="1"/>
  <c r="AN13" i="1"/>
  <c r="AO13" i="1"/>
  <c r="AP13" i="1"/>
  <c r="AQ13" i="1"/>
  <c r="AR13" i="1"/>
  <c r="AN14" i="1"/>
  <c r="AO14" i="1"/>
  <c r="AP14" i="1"/>
  <c r="AQ14" i="1"/>
  <c r="AR14" i="1"/>
  <c r="AN11" i="1"/>
  <c r="AO11" i="1"/>
  <c r="AP11" i="1"/>
  <c r="AQ11" i="1"/>
  <c r="AR11" i="1"/>
  <c r="AN8" i="1"/>
  <c r="AO8" i="1"/>
  <c r="AP8" i="1"/>
  <c r="AQ8" i="1"/>
  <c r="AR8" i="1"/>
  <c r="AN9" i="1"/>
  <c r="AO9" i="1"/>
  <c r="AP9" i="1"/>
  <c r="AQ9" i="1"/>
  <c r="AR9" i="1"/>
  <c r="AN10" i="1"/>
  <c r="AO10" i="1"/>
  <c r="AP10" i="1"/>
  <c r="AQ10" i="1"/>
  <c r="AR10" i="1"/>
  <c r="AO7" i="1"/>
  <c r="AP7" i="1"/>
  <c r="AQ7" i="1"/>
  <c r="AR7" i="1"/>
  <c r="AN7" i="1"/>
</calcChain>
</file>

<file path=xl/sharedStrings.xml><?xml version="1.0" encoding="utf-8"?>
<sst xmlns="http://schemas.openxmlformats.org/spreadsheetml/2006/main" count="59" uniqueCount="41">
  <si>
    <t>NaHCO3</t>
  </si>
  <si>
    <t>MgCl2</t>
  </si>
  <si>
    <t>CaCl2</t>
  </si>
  <si>
    <t>MgSO4</t>
  </si>
  <si>
    <t>D</t>
  </si>
  <si>
    <t>H2O</t>
  </si>
  <si>
    <t>Table 1 samples</t>
  </si>
  <si>
    <t>Table 2 samples</t>
  </si>
  <si>
    <t>Table 3 samples</t>
  </si>
  <si>
    <t>Table 4 samples</t>
  </si>
  <si>
    <t>Table 5 samples</t>
  </si>
  <si>
    <t>labels</t>
  </si>
  <si>
    <t>Water samples preparation, volume of each stock solution</t>
  </si>
  <si>
    <t>Concentration of each components</t>
  </si>
  <si>
    <t>Na</t>
  </si>
  <si>
    <t>C</t>
  </si>
  <si>
    <t>i. D</t>
  </si>
  <si>
    <t>mM</t>
  </si>
  <si>
    <t>Na2SO4</t>
  </si>
  <si>
    <t>NaH2PO4</t>
  </si>
  <si>
    <t>KF</t>
  </si>
  <si>
    <t>Fe(NO3)3</t>
  </si>
  <si>
    <t>CuSO4</t>
  </si>
  <si>
    <t>Table 1:</t>
  </si>
  <si>
    <t>NaHCO3: 0.25 mM</t>
  </si>
  <si>
    <t>MgCl2: 0.25 mM</t>
  </si>
  <si>
    <t>CaCl2 (mM)</t>
  </si>
  <si>
    <t>MgSO4 (mM)</t>
  </si>
  <si>
    <t>Table 2:</t>
  </si>
  <si>
    <t>NaHCO3: 0.5 mM</t>
  </si>
  <si>
    <t>Table 3:</t>
  </si>
  <si>
    <t>NaHCO3: 0.75 mM</t>
  </si>
  <si>
    <t>Table 4:</t>
  </si>
  <si>
    <t>NaHCO3: 1 mM</t>
  </si>
  <si>
    <t>Table 5:</t>
  </si>
  <si>
    <t>NaHCO3: 2 mM</t>
  </si>
  <si>
    <t>O</t>
  </si>
  <si>
    <t>Mg</t>
  </si>
  <si>
    <t>S</t>
  </si>
  <si>
    <t>Cl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</si>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</sst>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indent="9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82D0-1154-8147-867E-A8732DC00F97}">
  <dimension ref="A1:AR45"/>
  <sheetViews>
    <sheetView zoomScale="97" workbookViewId="0">
      <selection activeCell="D7" sqref="D7:H11"/>
    </sheetView>
  </sheetViews>
  <sheetFormatPr baseColWidth="10" defaultRowHeight="16" x14ac:dyDescent="0.2"/>
  <cols>
    <col min="1" max="1" width="16" customWidth="1"/>
    <col min="3" max="3" width="31.6640625" customWidth="1"/>
  </cols>
  <sheetData>
    <row r="1" spans="1:44" x14ac:dyDescent="0.2">
      <c r="A1" s="16" t="s">
        <v>12</v>
      </c>
      <c r="B1" s="16"/>
      <c r="C1" s="16"/>
      <c r="D1" s="16"/>
      <c r="E1" s="16"/>
    </row>
    <row r="2" spans="1:44" x14ac:dyDescent="0.2">
      <c r="A2" s="16"/>
      <c r="B2" s="16"/>
      <c r="C2" s="16"/>
      <c r="D2" s="16"/>
      <c r="E2" s="16"/>
    </row>
    <row r="7" spans="1:44" x14ac:dyDescent="0.2">
      <c r="A7" s="17" t="s">
        <v>6</v>
      </c>
      <c r="C7" t="s">
        <v>11</v>
      </c>
      <c r="D7" s="6">
        <v>1</v>
      </c>
      <c r="E7" s="6">
        <v>2</v>
      </c>
      <c r="F7" s="6">
        <v>3</v>
      </c>
      <c r="G7" s="6">
        <v>4</v>
      </c>
      <c r="H7" s="6">
        <v>5</v>
      </c>
      <c r="I7" t="s">
        <v>0</v>
      </c>
      <c r="J7" s="1">
        <v>0.25</v>
      </c>
      <c r="K7" s="1">
        <v>0.25</v>
      </c>
      <c r="L7" s="1">
        <v>0.25</v>
      </c>
      <c r="M7" s="1">
        <v>0.25</v>
      </c>
      <c r="N7" s="1">
        <v>0.25</v>
      </c>
      <c r="O7" t="s">
        <v>1</v>
      </c>
      <c r="P7" s="1">
        <v>0.5</v>
      </c>
      <c r="Q7" s="1">
        <v>0.5</v>
      </c>
      <c r="R7" s="1">
        <v>0.5</v>
      </c>
      <c r="S7" s="1">
        <v>0.5</v>
      </c>
      <c r="T7" s="1">
        <v>0.5</v>
      </c>
      <c r="U7" t="s">
        <v>2</v>
      </c>
      <c r="V7" s="1">
        <v>0.5</v>
      </c>
      <c r="W7" s="1">
        <v>0.75</v>
      </c>
      <c r="X7" s="1">
        <v>1</v>
      </c>
      <c r="Y7" s="1">
        <v>1.5</v>
      </c>
      <c r="Z7" s="1">
        <v>2</v>
      </c>
      <c r="AA7" t="s">
        <v>3</v>
      </c>
      <c r="AB7" s="1">
        <v>0.25</v>
      </c>
      <c r="AC7" s="1">
        <v>0.25</v>
      </c>
      <c r="AD7" s="1">
        <v>0.25</v>
      </c>
      <c r="AE7" s="1">
        <v>0.25</v>
      </c>
      <c r="AF7" s="1">
        <v>0.25</v>
      </c>
      <c r="AG7" t="s">
        <v>4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t="s">
        <v>5</v>
      </c>
      <c r="AN7" s="1">
        <f>10-J7-P7-V7-AB7-AH7</f>
        <v>7.5</v>
      </c>
      <c r="AO7" s="1">
        <f t="shared" ref="AO7:AR7" si="0">10-K7-Q7-W7-AC7-AI7</f>
        <v>7.25</v>
      </c>
      <c r="AP7" s="1">
        <f t="shared" si="0"/>
        <v>7</v>
      </c>
      <c r="AQ7" s="1">
        <f t="shared" si="0"/>
        <v>6.5</v>
      </c>
      <c r="AR7" s="1">
        <f t="shared" si="0"/>
        <v>6</v>
      </c>
    </row>
    <row r="8" spans="1:44" x14ac:dyDescent="0.2">
      <c r="A8" s="17"/>
      <c r="D8" s="6">
        <v>6</v>
      </c>
      <c r="E8" s="6">
        <v>7</v>
      </c>
      <c r="F8" s="6">
        <v>8</v>
      </c>
      <c r="G8" s="6">
        <v>9</v>
      </c>
      <c r="H8" s="6">
        <v>10</v>
      </c>
      <c r="J8" s="1">
        <v>0.25</v>
      </c>
      <c r="K8" s="1">
        <v>0.25</v>
      </c>
      <c r="L8" s="1">
        <v>0.25</v>
      </c>
      <c r="M8" s="1">
        <v>0.25</v>
      </c>
      <c r="N8" s="1">
        <v>0.25</v>
      </c>
      <c r="P8" s="1">
        <v>0.5</v>
      </c>
      <c r="Q8" s="1">
        <v>0.5</v>
      </c>
      <c r="R8" s="1">
        <v>0.5</v>
      </c>
      <c r="S8" s="1">
        <v>0.5</v>
      </c>
      <c r="T8" s="1">
        <v>0.5</v>
      </c>
      <c r="V8" s="1">
        <v>0.5</v>
      </c>
      <c r="W8" s="1">
        <v>0.75</v>
      </c>
      <c r="X8" s="1">
        <v>1</v>
      </c>
      <c r="Y8" s="1">
        <v>1.5</v>
      </c>
      <c r="Z8" s="1">
        <v>2</v>
      </c>
      <c r="AB8" s="1">
        <v>0.5</v>
      </c>
      <c r="AC8" s="1">
        <v>0.5</v>
      </c>
      <c r="AD8" s="1">
        <v>0.5</v>
      </c>
      <c r="AE8" s="1">
        <v>0.5</v>
      </c>
      <c r="AF8" s="1">
        <v>0.5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N8" s="1">
        <f t="shared" ref="AN8:AN10" si="1">10-J8-P8-V8-AB8-AH8</f>
        <v>7.25</v>
      </c>
      <c r="AO8" s="1">
        <f t="shared" ref="AO8:AO10" si="2">10-K8-Q8-W8-AC8-AI8</f>
        <v>7</v>
      </c>
      <c r="AP8" s="1">
        <f t="shared" ref="AP8:AP10" si="3">10-L8-R8-X8-AD8-AJ8</f>
        <v>6.75</v>
      </c>
      <c r="AQ8" s="1">
        <f t="shared" ref="AQ8:AQ10" si="4">10-M8-S8-Y8-AE8-AK8</f>
        <v>6.25</v>
      </c>
      <c r="AR8" s="1">
        <f t="shared" ref="AR8:AR10" si="5">10-N8-T8-Z8-AF8-AL8</f>
        <v>5.75</v>
      </c>
    </row>
    <row r="9" spans="1:44" x14ac:dyDescent="0.2">
      <c r="A9" s="17"/>
      <c r="D9" s="6">
        <v>11</v>
      </c>
      <c r="E9" s="6">
        <v>12</v>
      </c>
      <c r="F9" s="6">
        <v>13</v>
      </c>
      <c r="G9" s="6">
        <v>14</v>
      </c>
      <c r="H9" s="6">
        <v>15</v>
      </c>
      <c r="J9" s="1">
        <v>0.25</v>
      </c>
      <c r="K9" s="1">
        <v>0.25</v>
      </c>
      <c r="L9" s="1">
        <v>0.25</v>
      </c>
      <c r="M9" s="1">
        <v>0.25</v>
      </c>
      <c r="N9" s="1">
        <v>0.25</v>
      </c>
      <c r="P9" s="1">
        <v>0.5</v>
      </c>
      <c r="Q9" s="1">
        <v>0.5</v>
      </c>
      <c r="R9" s="1">
        <v>0.5</v>
      </c>
      <c r="S9" s="1">
        <v>0.5</v>
      </c>
      <c r="T9" s="1">
        <v>0.5</v>
      </c>
      <c r="V9" s="1">
        <v>0.5</v>
      </c>
      <c r="W9" s="1">
        <v>0.75</v>
      </c>
      <c r="X9" s="1">
        <v>1</v>
      </c>
      <c r="Y9" s="1">
        <v>1.5</v>
      </c>
      <c r="Z9" s="1">
        <v>2</v>
      </c>
      <c r="AB9" s="1">
        <v>0.75</v>
      </c>
      <c r="AC9" s="1">
        <v>0.75</v>
      </c>
      <c r="AD9" s="1">
        <v>0.75</v>
      </c>
      <c r="AE9" s="1">
        <v>0.75</v>
      </c>
      <c r="AF9" s="1">
        <v>0.75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N9" s="1">
        <f t="shared" si="1"/>
        <v>7</v>
      </c>
      <c r="AO9" s="1">
        <f t="shared" si="2"/>
        <v>6.75</v>
      </c>
      <c r="AP9" s="1">
        <f t="shared" si="3"/>
        <v>6.5</v>
      </c>
      <c r="AQ9" s="1">
        <f t="shared" si="4"/>
        <v>6</v>
      </c>
      <c r="AR9" s="1">
        <f t="shared" si="5"/>
        <v>5.5</v>
      </c>
    </row>
    <row r="10" spans="1:44" x14ac:dyDescent="0.2">
      <c r="A10" s="17"/>
      <c r="D10" s="6">
        <v>16</v>
      </c>
      <c r="E10" s="6">
        <v>17</v>
      </c>
      <c r="F10" s="6">
        <v>18</v>
      </c>
      <c r="G10" s="6">
        <v>19</v>
      </c>
      <c r="H10" s="6">
        <v>20</v>
      </c>
      <c r="J10" s="1">
        <v>0.25</v>
      </c>
      <c r="K10" s="1">
        <v>0.25</v>
      </c>
      <c r="L10" s="1">
        <v>0.25</v>
      </c>
      <c r="M10" s="1">
        <v>0.25</v>
      </c>
      <c r="N10" s="1">
        <v>0.25</v>
      </c>
      <c r="P10" s="1">
        <v>0.5</v>
      </c>
      <c r="Q10" s="1">
        <v>0.5</v>
      </c>
      <c r="R10" s="1">
        <v>0.5</v>
      </c>
      <c r="S10" s="1">
        <v>0.5</v>
      </c>
      <c r="T10" s="1">
        <v>0.5</v>
      </c>
      <c r="V10" s="1">
        <v>0.5</v>
      </c>
      <c r="W10" s="1">
        <v>0.75</v>
      </c>
      <c r="X10" s="1">
        <v>1</v>
      </c>
      <c r="Y10" s="1">
        <v>1.5</v>
      </c>
      <c r="Z10" s="1">
        <v>2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N10" s="1">
        <f t="shared" si="1"/>
        <v>6.75</v>
      </c>
      <c r="AO10" s="1">
        <f t="shared" si="2"/>
        <v>6.5</v>
      </c>
      <c r="AP10" s="1">
        <f t="shared" si="3"/>
        <v>6.25</v>
      </c>
      <c r="AQ10" s="1">
        <f t="shared" si="4"/>
        <v>5.75</v>
      </c>
      <c r="AR10" s="1">
        <f t="shared" si="5"/>
        <v>5.25</v>
      </c>
    </row>
    <row r="11" spans="1:44" x14ac:dyDescent="0.2">
      <c r="A11" s="17"/>
      <c r="D11" s="6">
        <v>21</v>
      </c>
      <c r="E11" s="6">
        <v>22</v>
      </c>
      <c r="F11" s="6">
        <v>23</v>
      </c>
      <c r="G11" s="6">
        <v>24</v>
      </c>
      <c r="H11" s="6">
        <v>25</v>
      </c>
      <c r="J11" s="1">
        <v>0.25</v>
      </c>
      <c r="K11" s="1">
        <v>0.25</v>
      </c>
      <c r="L11" s="1">
        <v>0.25</v>
      </c>
      <c r="M11" s="1">
        <v>0.25</v>
      </c>
      <c r="N11" s="1">
        <v>0.25</v>
      </c>
      <c r="P11" s="1">
        <v>0.5</v>
      </c>
      <c r="Q11" s="1">
        <v>0.5</v>
      </c>
      <c r="R11" s="1">
        <v>0.5</v>
      </c>
      <c r="S11" s="1">
        <v>0.5</v>
      </c>
      <c r="T11" s="1">
        <v>0.5</v>
      </c>
      <c r="V11" s="1">
        <v>0.5</v>
      </c>
      <c r="W11" s="1">
        <v>0.75</v>
      </c>
      <c r="X11" s="1">
        <v>1</v>
      </c>
      <c r="Y11" s="1">
        <v>1.5</v>
      </c>
      <c r="Z11" s="1">
        <v>2</v>
      </c>
      <c r="AB11" s="1">
        <v>2</v>
      </c>
      <c r="AC11" s="1">
        <v>2</v>
      </c>
      <c r="AD11" s="1">
        <v>2</v>
      </c>
      <c r="AE11" s="1">
        <v>2</v>
      </c>
      <c r="AF11" s="1">
        <v>2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N11" s="1">
        <f t="shared" ref="AN11" si="6">10-J11-P11-V11-AB11-AH11</f>
        <v>5.75</v>
      </c>
      <c r="AO11" s="1">
        <f t="shared" ref="AO11" si="7">10-K11-Q11-W11-AC11-AI11</f>
        <v>5.5</v>
      </c>
      <c r="AP11" s="1">
        <f t="shared" ref="AP11" si="8">10-L11-R11-X11-AD11-AJ11</f>
        <v>5.25</v>
      </c>
      <c r="AQ11" s="1">
        <f t="shared" ref="AQ11" si="9">10-M11-S11-Y11-AE11-AK11</f>
        <v>4.75</v>
      </c>
      <c r="AR11" s="1">
        <f t="shared" ref="AR11" si="10">10-N11-T11-Z11-AF11-AL11</f>
        <v>4.25</v>
      </c>
    </row>
    <row r="13" spans="1:44" x14ac:dyDescent="0.2">
      <c r="A13" s="18" t="s">
        <v>7</v>
      </c>
      <c r="D13" s="6">
        <v>1</v>
      </c>
      <c r="E13" s="6">
        <v>2</v>
      </c>
      <c r="F13" s="6">
        <v>3</v>
      </c>
      <c r="G13" s="6">
        <v>4</v>
      </c>
      <c r="H13" s="6">
        <v>5</v>
      </c>
      <c r="J13" s="2">
        <v>0.5</v>
      </c>
      <c r="K13" s="2">
        <v>0.5</v>
      </c>
      <c r="L13" s="2">
        <v>0.5</v>
      </c>
      <c r="M13" s="2">
        <v>0.5</v>
      </c>
      <c r="N13" s="2">
        <v>0.5</v>
      </c>
      <c r="P13" s="2">
        <v>0.5</v>
      </c>
      <c r="Q13" s="2">
        <v>0.5</v>
      </c>
      <c r="R13" s="2">
        <v>0.5</v>
      </c>
      <c r="S13" s="2">
        <v>0.5</v>
      </c>
      <c r="T13" s="2">
        <v>0.5</v>
      </c>
      <c r="V13" s="2">
        <v>0.5</v>
      </c>
      <c r="W13" s="2">
        <v>0.75</v>
      </c>
      <c r="X13" s="2">
        <v>1</v>
      </c>
      <c r="Y13" s="2">
        <v>1.5</v>
      </c>
      <c r="Z13" s="2">
        <v>2</v>
      </c>
      <c r="AB13" s="2">
        <v>0.25</v>
      </c>
      <c r="AC13" s="2">
        <v>0.25</v>
      </c>
      <c r="AD13" s="2">
        <v>0.25</v>
      </c>
      <c r="AE13" s="2">
        <v>0.25</v>
      </c>
      <c r="AF13" s="2">
        <v>0.25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N13" s="2">
        <f t="shared" ref="AN13:AN15" si="11">10-J13-P13-V13-AB13-AH13</f>
        <v>7.25</v>
      </c>
      <c r="AO13" s="2">
        <f t="shared" ref="AO13:AO15" si="12">10-K13-Q13-W13-AC13-AI13</f>
        <v>7</v>
      </c>
      <c r="AP13" s="2">
        <f t="shared" ref="AP13:AP15" si="13">10-L13-R13-X13-AD13-AJ13</f>
        <v>6.75</v>
      </c>
      <c r="AQ13" s="2">
        <f t="shared" ref="AQ13:AQ15" si="14">10-M13-S13-Y13-AE13-AK13</f>
        <v>6.25</v>
      </c>
      <c r="AR13" s="2">
        <f t="shared" ref="AR13:AR15" si="15">10-N13-T13-Z13-AF13-AL13</f>
        <v>5.75</v>
      </c>
    </row>
    <row r="14" spans="1:44" x14ac:dyDescent="0.2">
      <c r="A14" s="18"/>
      <c r="D14" s="6">
        <v>6</v>
      </c>
      <c r="E14" s="6">
        <v>7</v>
      </c>
      <c r="F14" s="6">
        <v>8</v>
      </c>
      <c r="G14" s="6">
        <v>9</v>
      </c>
      <c r="H14" s="6">
        <v>10</v>
      </c>
      <c r="J14" s="2">
        <v>0.5</v>
      </c>
      <c r="K14" s="2">
        <v>0.5</v>
      </c>
      <c r="L14" s="2">
        <v>0.5</v>
      </c>
      <c r="M14" s="2">
        <v>0.5</v>
      </c>
      <c r="N14" s="2">
        <v>0.5</v>
      </c>
      <c r="P14" s="2">
        <v>0.5</v>
      </c>
      <c r="Q14" s="2">
        <v>0.5</v>
      </c>
      <c r="R14" s="2">
        <v>0.5</v>
      </c>
      <c r="S14" s="2">
        <v>0.5</v>
      </c>
      <c r="T14" s="2">
        <v>0.5</v>
      </c>
      <c r="V14" s="2">
        <v>0.5</v>
      </c>
      <c r="W14" s="2">
        <v>0.75</v>
      </c>
      <c r="X14" s="2">
        <v>1</v>
      </c>
      <c r="Y14" s="2">
        <v>1.5</v>
      </c>
      <c r="Z14" s="2">
        <v>2</v>
      </c>
      <c r="AB14" s="2">
        <v>0.5</v>
      </c>
      <c r="AC14" s="2">
        <v>0.5</v>
      </c>
      <c r="AD14" s="2">
        <v>0.5</v>
      </c>
      <c r="AE14" s="2">
        <v>0.5</v>
      </c>
      <c r="AF14" s="2">
        <v>0.5</v>
      </c>
      <c r="AH14" s="2">
        <v>1</v>
      </c>
      <c r="AI14" s="2">
        <v>1</v>
      </c>
      <c r="AJ14" s="2">
        <v>1</v>
      </c>
      <c r="AK14" s="2">
        <v>1</v>
      </c>
      <c r="AL14" s="2">
        <v>1</v>
      </c>
      <c r="AN14" s="2">
        <f t="shared" si="11"/>
        <v>7</v>
      </c>
      <c r="AO14" s="2">
        <f t="shared" si="12"/>
        <v>6.75</v>
      </c>
      <c r="AP14" s="2">
        <f t="shared" si="13"/>
        <v>6.5</v>
      </c>
      <c r="AQ14" s="2">
        <f t="shared" si="14"/>
        <v>6</v>
      </c>
      <c r="AR14" s="2">
        <f t="shared" si="15"/>
        <v>5.5</v>
      </c>
    </row>
    <row r="15" spans="1:44" x14ac:dyDescent="0.2">
      <c r="A15" s="18"/>
      <c r="D15" s="6">
        <v>11</v>
      </c>
      <c r="E15" s="6">
        <v>12</v>
      </c>
      <c r="F15" s="6">
        <v>13</v>
      </c>
      <c r="G15" s="6">
        <v>14</v>
      </c>
      <c r="H15" s="6">
        <v>15</v>
      </c>
      <c r="J15" s="2">
        <v>0.5</v>
      </c>
      <c r="K15" s="2">
        <v>0.5</v>
      </c>
      <c r="L15" s="2">
        <v>0.5</v>
      </c>
      <c r="M15" s="2">
        <v>0.5</v>
      </c>
      <c r="N15" s="2">
        <v>0.5</v>
      </c>
      <c r="P15" s="2">
        <v>0.5</v>
      </c>
      <c r="Q15" s="2">
        <v>0.5</v>
      </c>
      <c r="R15" s="2">
        <v>0.5</v>
      </c>
      <c r="S15" s="2">
        <v>0.5</v>
      </c>
      <c r="T15" s="2">
        <v>0.5</v>
      </c>
      <c r="V15" s="2">
        <v>0.5</v>
      </c>
      <c r="W15" s="2">
        <v>0.75</v>
      </c>
      <c r="X15" s="2">
        <v>1</v>
      </c>
      <c r="Y15" s="2">
        <v>1.5</v>
      </c>
      <c r="Z15" s="2">
        <v>2</v>
      </c>
      <c r="AB15" s="2">
        <v>0.75</v>
      </c>
      <c r="AC15" s="2">
        <v>0.75</v>
      </c>
      <c r="AD15" s="2">
        <v>0.75</v>
      </c>
      <c r="AE15" s="2">
        <v>0.75</v>
      </c>
      <c r="AF15" s="2">
        <v>0.75</v>
      </c>
      <c r="AH15" s="2">
        <v>1</v>
      </c>
      <c r="AI15" s="2">
        <v>1</v>
      </c>
      <c r="AJ15" s="2">
        <v>1</v>
      </c>
      <c r="AK15" s="2">
        <v>1</v>
      </c>
      <c r="AL15" s="2">
        <v>1</v>
      </c>
      <c r="AN15" s="2">
        <f t="shared" si="11"/>
        <v>6.75</v>
      </c>
      <c r="AO15" s="2">
        <f t="shared" si="12"/>
        <v>6.5</v>
      </c>
      <c r="AP15" s="2">
        <f t="shared" si="13"/>
        <v>6.25</v>
      </c>
      <c r="AQ15" s="2">
        <f t="shared" si="14"/>
        <v>5.75</v>
      </c>
      <c r="AR15" s="2">
        <f t="shared" si="15"/>
        <v>5.25</v>
      </c>
    </row>
    <row r="16" spans="1:44" x14ac:dyDescent="0.2">
      <c r="A16" s="18"/>
      <c r="D16" s="6">
        <v>16</v>
      </c>
      <c r="E16" s="6">
        <v>17</v>
      </c>
      <c r="F16" s="6">
        <v>18</v>
      </c>
      <c r="G16" s="6">
        <v>19</v>
      </c>
      <c r="H16" s="6">
        <v>20</v>
      </c>
      <c r="J16" s="2">
        <v>0.5</v>
      </c>
      <c r="K16" s="2">
        <v>0.5</v>
      </c>
      <c r="L16" s="2">
        <v>0.5</v>
      </c>
      <c r="M16" s="2">
        <v>0.5</v>
      </c>
      <c r="N16" s="2">
        <v>0.5</v>
      </c>
      <c r="P16" s="2">
        <v>0.5</v>
      </c>
      <c r="Q16" s="2">
        <v>0.5</v>
      </c>
      <c r="R16" s="2">
        <v>0.5</v>
      </c>
      <c r="S16" s="2">
        <v>0.5</v>
      </c>
      <c r="T16" s="2">
        <v>0.5</v>
      </c>
      <c r="V16" s="2">
        <v>0.5</v>
      </c>
      <c r="W16" s="2">
        <v>0.75</v>
      </c>
      <c r="X16" s="2">
        <v>1</v>
      </c>
      <c r="Y16" s="2">
        <v>1.5</v>
      </c>
      <c r="Z16" s="2">
        <v>2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H16" s="2">
        <v>1</v>
      </c>
      <c r="AI16" s="2">
        <v>1</v>
      </c>
      <c r="AJ16" s="2">
        <v>1</v>
      </c>
      <c r="AK16" s="2">
        <v>1</v>
      </c>
      <c r="AL16" s="2">
        <v>1</v>
      </c>
      <c r="AN16" s="2">
        <f t="shared" ref="AN16:AN22" si="16">10-J16-P16-V16-AB16-AH16</f>
        <v>6.5</v>
      </c>
      <c r="AO16" s="2">
        <f t="shared" ref="AO16:AO22" si="17">10-K16-Q16-W16-AC16-AI16</f>
        <v>6.25</v>
      </c>
      <c r="AP16" s="2">
        <f t="shared" ref="AP16:AP22" si="18">10-L16-R16-X16-AD16-AJ16</f>
        <v>6</v>
      </c>
      <c r="AQ16" s="2">
        <f t="shared" ref="AQ16:AQ22" si="19">10-M16-S16-Y16-AE16-AK16</f>
        <v>5.5</v>
      </c>
      <c r="AR16" s="2">
        <f t="shared" ref="AR16:AR22" si="20">10-N16-T16-Z16-AF16-AL16</f>
        <v>5</v>
      </c>
    </row>
    <row r="17" spans="1:44" x14ac:dyDescent="0.2">
      <c r="A17" s="18"/>
      <c r="D17" s="6">
        <v>21</v>
      </c>
      <c r="E17" s="6">
        <v>22</v>
      </c>
      <c r="F17" s="6">
        <v>23</v>
      </c>
      <c r="G17" s="6">
        <v>24</v>
      </c>
      <c r="H17" s="6">
        <v>25</v>
      </c>
      <c r="J17" s="2">
        <v>0.5</v>
      </c>
      <c r="K17" s="2">
        <v>0.5</v>
      </c>
      <c r="L17" s="2">
        <v>0.5</v>
      </c>
      <c r="M17" s="2">
        <v>0.5</v>
      </c>
      <c r="N17" s="2">
        <v>0.5</v>
      </c>
      <c r="P17" s="2">
        <v>0.5</v>
      </c>
      <c r="Q17" s="2">
        <v>0.5</v>
      </c>
      <c r="R17" s="2">
        <v>0.5</v>
      </c>
      <c r="S17" s="2">
        <v>0.5</v>
      </c>
      <c r="T17" s="2">
        <v>0.5</v>
      </c>
      <c r="V17" s="2">
        <v>0.5</v>
      </c>
      <c r="W17" s="2">
        <v>0.75</v>
      </c>
      <c r="X17" s="2">
        <v>1</v>
      </c>
      <c r="Y17" s="2">
        <v>1.5</v>
      </c>
      <c r="Z17" s="2">
        <v>2</v>
      </c>
      <c r="AB17" s="2">
        <v>2</v>
      </c>
      <c r="AC17" s="2">
        <v>2</v>
      </c>
      <c r="AD17" s="2">
        <v>2</v>
      </c>
      <c r="AE17" s="2">
        <v>2</v>
      </c>
      <c r="AF17" s="2">
        <v>2</v>
      </c>
      <c r="AH17" s="2">
        <v>1</v>
      </c>
      <c r="AI17" s="2">
        <v>1</v>
      </c>
      <c r="AJ17" s="2">
        <v>1</v>
      </c>
      <c r="AK17" s="2">
        <v>1</v>
      </c>
      <c r="AL17" s="2">
        <v>1</v>
      </c>
      <c r="AN17" s="2">
        <f t="shared" si="16"/>
        <v>5.5</v>
      </c>
      <c r="AO17" s="2">
        <f t="shared" si="17"/>
        <v>5.25</v>
      </c>
      <c r="AP17" s="2">
        <f t="shared" si="18"/>
        <v>5</v>
      </c>
      <c r="AQ17" s="2">
        <f t="shared" si="19"/>
        <v>4.5</v>
      </c>
      <c r="AR17" s="2">
        <f t="shared" si="20"/>
        <v>4</v>
      </c>
    </row>
    <row r="19" spans="1:44" x14ac:dyDescent="0.2">
      <c r="A19" s="19" t="s">
        <v>8</v>
      </c>
      <c r="D19" s="6">
        <v>1</v>
      </c>
      <c r="E19" s="6">
        <v>2</v>
      </c>
      <c r="F19" s="6">
        <v>3</v>
      </c>
      <c r="G19" s="6">
        <v>4</v>
      </c>
      <c r="H19" s="6">
        <v>5</v>
      </c>
      <c r="J19" s="3">
        <v>0.75</v>
      </c>
      <c r="K19" s="3">
        <v>0.75</v>
      </c>
      <c r="L19" s="3">
        <v>0.75</v>
      </c>
      <c r="M19" s="3">
        <v>0.75</v>
      </c>
      <c r="N19" s="3">
        <v>0.75</v>
      </c>
      <c r="P19" s="3">
        <v>0.5</v>
      </c>
      <c r="Q19" s="3">
        <v>0.5</v>
      </c>
      <c r="R19" s="3">
        <v>0.5</v>
      </c>
      <c r="S19" s="3">
        <v>0.5</v>
      </c>
      <c r="T19" s="3">
        <v>0.5</v>
      </c>
      <c r="V19" s="3">
        <v>0.5</v>
      </c>
      <c r="W19" s="3">
        <v>0.75</v>
      </c>
      <c r="X19" s="3">
        <v>1</v>
      </c>
      <c r="Y19" s="3">
        <v>1.5</v>
      </c>
      <c r="Z19" s="3">
        <v>2</v>
      </c>
      <c r="AB19" s="3">
        <v>0.25</v>
      </c>
      <c r="AC19" s="3">
        <v>0.25</v>
      </c>
      <c r="AD19" s="3">
        <v>0.25</v>
      </c>
      <c r="AE19" s="3">
        <v>0.25</v>
      </c>
      <c r="AF19" s="3">
        <v>0.25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N19" s="3">
        <f t="shared" si="16"/>
        <v>7</v>
      </c>
      <c r="AO19" s="3">
        <f t="shared" si="17"/>
        <v>6.75</v>
      </c>
      <c r="AP19" s="3">
        <f t="shared" si="18"/>
        <v>6.5</v>
      </c>
      <c r="AQ19" s="3">
        <f t="shared" si="19"/>
        <v>6</v>
      </c>
      <c r="AR19" s="3">
        <f t="shared" si="20"/>
        <v>5.5</v>
      </c>
    </row>
    <row r="20" spans="1:44" x14ac:dyDescent="0.2">
      <c r="A20" s="19"/>
      <c r="D20" s="6">
        <v>6</v>
      </c>
      <c r="E20" s="6">
        <v>7</v>
      </c>
      <c r="F20" s="6">
        <v>8</v>
      </c>
      <c r="G20" s="6">
        <v>9</v>
      </c>
      <c r="H20" s="6">
        <v>10</v>
      </c>
      <c r="J20" s="3">
        <v>0.75</v>
      </c>
      <c r="K20" s="3">
        <v>0.75</v>
      </c>
      <c r="L20" s="3">
        <v>0.75</v>
      </c>
      <c r="M20" s="3">
        <v>0.75</v>
      </c>
      <c r="N20" s="3">
        <v>0.75</v>
      </c>
      <c r="P20" s="3">
        <v>0.5</v>
      </c>
      <c r="Q20" s="3">
        <v>0.5</v>
      </c>
      <c r="R20" s="3">
        <v>0.5</v>
      </c>
      <c r="S20" s="3">
        <v>0.5</v>
      </c>
      <c r="T20" s="3">
        <v>0.5</v>
      </c>
      <c r="V20" s="3">
        <v>0.5</v>
      </c>
      <c r="W20" s="3">
        <v>0.75</v>
      </c>
      <c r="X20" s="3">
        <v>1</v>
      </c>
      <c r="Y20" s="3">
        <v>1.5</v>
      </c>
      <c r="Z20" s="3">
        <v>2</v>
      </c>
      <c r="AB20" s="3">
        <v>0.5</v>
      </c>
      <c r="AC20" s="3">
        <v>0.5</v>
      </c>
      <c r="AD20" s="3">
        <v>0.5</v>
      </c>
      <c r="AE20" s="3">
        <v>0.5</v>
      </c>
      <c r="AF20" s="3">
        <v>0.5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N20" s="3">
        <f t="shared" si="16"/>
        <v>6.75</v>
      </c>
      <c r="AO20" s="3">
        <f t="shared" si="17"/>
        <v>6.5</v>
      </c>
      <c r="AP20" s="3">
        <f t="shared" si="18"/>
        <v>6.25</v>
      </c>
      <c r="AQ20" s="3">
        <f t="shared" si="19"/>
        <v>5.75</v>
      </c>
      <c r="AR20" s="3">
        <f t="shared" si="20"/>
        <v>5.25</v>
      </c>
    </row>
    <row r="21" spans="1:44" x14ac:dyDescent="0.2">
      <c r="A21" s="19"/>
      <c r="D21" s="6">
        <v>11</v>
      </c>
      <c r="E21" s="6">
        <v>12</v>
      </c>
      <c r="F21" s="6">
        <v>13</v>
      </c>
      <c r="G21" s="6">
        <v>14</v>
      </c>
      <c r="H21" s="6">
        <v>15</v>
      </c>
      <c r="J21" s="3">
        <v>0.75</v>
      </c>
      <c r="K21" s="3">
        <v>0.75</v>
      </c>
      <c r="L21" s="3">
        <v>0.75</v>
      </c>
      <c r="M21" s="3">
        <v>0.75</v>
      </c>
      <c r="N21" s="3">
        <v>0.75</v>
      </c>
      <c r="P21" s="3">
        <v>0.5</v>
      </c>
      <c r="Q21" s="3">
        <v>0.5</v>
      </c>
      <c r="R21" s="3">
        <v>0.5</v>
      </c>
      <c r="S21" s="3">
        <v>0.5</v>
      </c>
      <c r="T21" s="3">
        <v>0.5</v>
      </c>
      <c r="V21" s="3">
        <v>0.5</v>
      </c>
      <c r="W21" s="3">
        <v>0.75</v>
      </c>
      <c r="X21" s="3">
        <v>1</v>
      </c>
      <c r="Y21" s="3">
        <v>1.5</v>
      </c>
      <c r="Z21" s="3">
        <v>2</v>
      </c>
      <c r="AB21" s="3">
        <v>0.75</v>
      </c>
      <c r="AC21" s="3">
        <v>0.75</v>
      </c>
      <c r="AD21" s="3">
        <v>0.75</v>
      </c>
      <c r="AE21" s="3">
        <v>0.75</v>
      </c>
      <c r="AF21" s="3">
        <v>0.75</v>
      </c>
      <c r="AH21" s="3">
        <v>1</v>
      </c>
      <c r="AI21" s="3">
        <v>1</v>
      </c>
      <c r="AJ21" s="3">
        <v>1</v>
      </c>
      <c r="AK21" s="3">
        <v>1</v>
      </c>
      <c r="AL21" s="3">
        <v>1</v>
      </c>
      <c r="AN21" s="3">
        <f t="shared" si="16"/>
        <v>6.5</v>
      </c>
      <c r="AO21" s="3">
        <f t="shared" si="17"/>
        <v>6.25</v>
      </c>
      <c r="AP21" s="3">
        <f t="shared" si="18"/>
        <v>6</v>
      </c>
      <c r="AQ21" s="3">
        <f t="shared" si="19"/>
        <v>5.5</v>
      </c>
      <c r="AR21" s="3">
        <f t="shared" si="20"/>
        <v>5</v>
      </c>
    </row>
    <row r="22" spans="1:44" x14ac:dyDescent="0.2">
      <c r="A22" s="19"/>
      <c r="D22" s="6">
        <v>16</v>
      </c>
      <c r="E22" s="6">
        <v>17</v>
      </c>
      <c r="F22" s="6">
        <v>18</v>
      </c>
      <c r="G22" s="6">
        <v>19</v>
      </c>
      <c r="H22" s="6">
        <v>20</v>
      </c>
      <c r="J22" s="3">
        <v>0.75</v>
      </c>
      <c r="K22" s="3">
        <v>0.75</v>
      </c>
      <c r="L22" s="3">
        <v>0.75</v>
      </c>
      <c r="M22" s="3">
        <v>0.75</v>
      </c>
      <c r="N22" s="3">
        <v>0.75</v>
      </c>
      <c r="P22" s="3">
        <v>0.5</v>
      </c>
      <c r="Q22" s="3">
        <v>0.5</v>
      </c>
      <c r="R22" s="3">
        <v>0.5</v>
      </c>
      <c r="S22" s="3">
        <v>0.5</v>
      </c>
      <c r="T22" s="3">
        <v>0.5</v>
      </c>
      <c r="V22" s="3">
        <v>0.5</v>
      </c>
      <c r="W22" s="3">
        <v>0.75</v>
      </c>
      <c r="X22" s="3">
        <v>1</v>
      </c>
      <c r="Y22" s="3">
        <v>1.5</v>
      </c>
      <c r="Z22" s="3">
        <v>2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N22" s="3">
        <f t="shared" si="16"/>
        <v>6.25</v>
      </c>
      <c r="AO22" s="3">
        <f t="shared" si="17"/>
        <v>6</v>
      </c>
      <c r="AP22" s="3">
        <f t="shared" si="18"/>
        <v>5.75</v>
      </c>
      <c r="AQ22" s="3">
        <f t="shared" si="19"/>
        <v>5.25</v>
      </c>
      <c r="AR22" s="3">
        <f t="shared" si="20"/>
        <v>4.75</v>
      </c>
    </row>
    <row r="23" spans="1:44" x14ac:dyDescent="0.2">
      <c r="A23" s="19"/>
      <c r="D23" s="6">
        <v>21</v>
      </c>
      <c r="E23" s="6">
        <v>22</v>
      </c>
      <c r="F23" s="6">
        <v>23</v>
      </c>
      <c r="G23" s="6">
        <v>24</v>
      </c>
      <c r="H23" s="6">
        <v>25</v>
      </c>
      <c r="J23" s="3">
        <v>0.75</v>
      </c>
      <c r="K23" s="3">
        <v>0.75</v>
      </c>
      <c r="L23" s="3">
        <v>0.75</v>
      </c>
      <c r="M23" s="3">
        <v>0.75</v>
      </c>
      <c r="N23" s="3">
        <v>0.75</v>
      </c>
      <c r="P23" s="3">
        <v>0.5</v>
      </c>
      <c r="Q23" s="3">
        <v>0.5</v>
      </c>
      <c r="R23" s="3">
        <v>0.5</v>
      </c>
      <c r="S23" s="3">
        <v>0.5</v>
      </c>
      <c r="T23" s="3">
        <v>0.5</v>
      </c>
      <c r="V23" s="3">
        <v>0.5</v>
      </c>
      <c r="W23" s="3">
        <v>0.75</v>
      </c>
      <c r="X23" s="3">
        <v>1</v>
      </c>
      <c r="Y23" s="3">
        <v>1.5</v>
      </c>
      <c r="Z23" s="3">
        <v>2</v>
      </c>
      <c r="AB23" s="3">
        <v>2</v>
      </c>
      <c r="AC23" s="3">
        <v>2</v>
      </c>
      <c r="AD23" s="3">
        <v>2</v>
      </c>
      <c r="AE23" s="3">
        <v>2</v>
      </c>
      <c r="AF23" s="3">
        <v>2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N23" s="3">
        <f t="shared" ref="AN23:AN35" si="21">10-J23-P23-V23-AB23-AH23</f>
        <v>5.25</v>
      </c>
      <c r="AO23" s="3">
        <f t="shared" ref="AO23:AO35" si="22">10-K23-Q23-W23-AC23-AI23</f>
        <v>5</v>
      </c>
      <c r="AP23" s="3">
        <f t="shared" ref="AP23:AP35" si="23">10-L23-R23-X23-AD23-AJ23</f>
        <v>4.75</v>
      </c>
      <c r="AQ23" s="3">
        <f t="shared" ref="AQ23:AQ35" si="24">10-M23-S23-Y23-AE23-AK23</f>
        <v>4.25</v>
      </c>
      <c r="AR23" s="3">
        <f t="shared" ref="AR23:AR35" si="25">10-N23-T23-Z23-AF23-AL23</f>
        <v>3.75</v>
      </c>
    </row>
    <row r="25" spans="1:44" x14ac:dyDescent="0.2">
      <c r="A25" s="14" t="s">
        <v>9</v>
      </c>
      <c r="D25" s="6">
        <v>1</v>
      </c>
      <c r="E25" s="6">
        <v>2</v>
      </c>
      <c r="F25" s="6">
        <v>3</v>
      </c>
      <c r="G25" s="6">
        <v>4</v>
      </c>
      <c r="H25" s="6">
        <v>5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P25" s="4">
        <v>0.5</v>
      </c>
      <c r="Q25" s="4">
        <v>0.5</v>
      </c>
      <c r="R25" s="4">
        <v>0.5</v>
      </c>
      <c r="S25" s="4">
        <v>0.5</v>
      </c>
      <c r="T25" s="4">
        <v>0.5</v>
      </c>
      <c r="V25" s="4">
        <v>0.5</v>
      </c>
      <c r="W25" s="4">
        <v>0.75</v>
      </c>
      <c r="X25" s="4">
        <v>1</v>
      </c>
      <c r="Y25" s="4">
        <v>1.5</v>
      </c>
      <c r="Z25" s="4">
        <v>2</v>
      </c>
      <c r="AB25" s="4">
        <v>0.25</v>
      </c>
      <c r="AC25" s="4">
        <v>0.25</v>
      </c>
      <c r="AD25" s="4">
        <v>0.25</v>
      </c>
      <c r="AE25" s="4">
        <v>0.25</v>
      </c>
      <c r="AF25" s="4">
        <v>0.25</v>
      </c>
      <c r="AH25" s="4">
        <v>1</v>
      </c>
      <c r="AI25" s="4">
        <v>1</v>
      </c>
      <c r="AJ25" s="4">
        <v>1</v>
      </c>
      <c r="AK25" s="4">
        <v>1</v>
      </c>
      <c r="AL25" s="4">
        <v>1</v>
      </c>
      <c r="AN25" s="4">
        <f t="shared" si="21"/>
        <v>6.75</v>
      </c>
      <c r="AO25" s="4">
        <f t="shared" si="22"/>
        <v>6.5</v>
      </c>
      <c r="AP25" s="4">
        <f t="shared" si="23"/>
        <v>6.25</v>
      </c>
      <c r="AQ25" s="4">
        <f t="shared" si="24"/>
        <v>5.75</v>
      </c>
      <c r="AR25" s="4">
        <f t="shared" si="25"/>
        <v>5.25</v>
      </c>
    </row>
    <row r="26" spans="1:44" x14ac:dyDescent="0.2">
      <c r="A26" s="14"/>
      <c r="D26" s="6">
        <v>6</v>
      </c>
      <c r="E26" s="6">
        <v>7</v>
      </c>
      <c r="F26" s="6">
        <v>8</v>
      </c>
      <c r="G26" s="6">
        <v>9</v>
      </c>
      <c r="H26" s="6">
        <v>10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P26" s="4">
        <v>0.5</v>
      </c>
      <c r="Q26" s="4">
        <v>0.5</v>
      </c>
      <c r="R26" s="4">
        <v>0.5</v>
      </c>
      <c r="S26" s="4">
        <v>0.5</v>
      </c>
      <c r="T26" s="4">
        <v>0.5</v>
      </c>
      <c r="V26" s="4">
        <v>0.5</v>
      </c>
      <c r="W26" s="4">
        <v>0.75</v>
      </c>
      <c r="X26" s="4">
        <v>1</v>
      </c>
      <c r="Y26" s="4">
        <v>1.5</v>
      </c>
      <c r="Z26" s="4">
        <v>2</v>
      </c>
      <c r="AB26" s="4">
        <v>0.5</v>
      </c>
      <c r="AC26" s="4">
        <v>0.5</v>
      </c>
      <c r="AD26" s="4">
        <v>0.5</v>
      </c>
      <c r="AE26" s="4">
        <v>0.5</v>
      </c>
      <c r="AF26" s="4">
        <v>0.5</v>
      </c>
      <c r="AH26" s="4">
        <v>1</v>
      </c>
      <c r="AI26" s="4">
        <v>1</v>
      </c>
      <c r="AJ26" s="4">
        <v>1</v>
      </c>
      <c r="AK26" s="4">
        <v>1</v>
      </c>
      <c r="AL26" s="4">
        <v>1</v>
      </c>
      <c r="AN26" s="4">
        <f t="shared" si="21"/>
        <v>6.5</v>
      </c>
      <c r="AO26" s="4">
        <f t="shared" si="22"/>
        <v>6.25</v>
      </c>
      <c r="AP26" s="4">
        <f t="shared" si="23"/>
        <v>6</v>
      </c>
      <c r="AQ26" s="4">
        <f t="shared" si="24"/>
        <v>5.5</v>
      </c>
      <c r="AR26" s="4">
        <f t="shared" si="25"/>
        <v>5</v>
      </c>
    </row>
    <row r="27" spans="1:44" x14ac:dyDescent="0.2">
      <c r="A27" s="14"/>
      <c r="D27" s="6">
        <v>11</v>
      </c>
      <c r="E27" s="6">
        <v>12</v>
      </c>
      <c r="F27" s="6">
        <v>13</v>
      </c>
      <c r="G27" s="6">
        <v>14</v>
      </c>
      <c r="H27" s="6">
        <v>15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P27" s="4">
        <v>0.5</v>
      </c>
      <c r="Q27" s="4">
        <v>0.5</v>
      </c>
      <c r="R27" s="4">
        <v>0.5</v>
      </c>
      <c r="S27" s="4">
        <v>0.5</v>
      </c>
      <c r="T27" s="4">
        <v>0.5</v>
      </c>
      <c r="V27" s="4">
        <v>0.5</v>
      </c>
      <c r="W27" s="4">
        <v>0.75</v>
      </c>
      <c r="X27" s="4">
        <v>1</v>
      </c>
      <c r="Y27" s="4">
        <v>1.5</v>
      </c>
      <c r="Z27" s="4">
        <v>2</v>
      </c>
      <c r="AB27" s="4">
        <v>0.75</v>
      </c>
      <c r="AC27" s="4">
        <v>0.75</v>
      </c>
      <c r="AD27" s="4">
        <v>0.75</v>
      </c>
      <c r="AE27" s="4">
        <v>0.75</v>
      </c>
      <c r="AF27" s="4">
        <v>0.75</v>
      </c>
      <c r="AH27" s="4">
        <v>1</v>
      </c>
      <c r="AI27" s="4">
        <v>1</v>
      </c>
      <c r="AJ27" s="4">
        <v>1</v>
      </c>
      <c r="AK27" s="4">
        <v>1</v>
      </c>
      <c r="AL27" s="4">
        <v>1</v>
      </c>
      <c r="AN27" s="4">
        <f t="shared" si="21"/>
        <v>6.25</v>
      </c>
      <c r="AO27" s="4">
        <f t="shared" si="22"/>
        <v>6</v>
      </c>
      <c r="AP27" s="4">
        <f t="shared" si="23"/>
        <v>5.75</v>
      </c>
      <c r="AQ27" s="4">
        <f t="shared" si="24"/>
        <v>5.25</v>
      </c>
      <c r="AR27" s="4">
        <f t="shared" si="25"/>
        <v>4.75</v>
      </c>
    </row>
    <row r="28" spans="1:44" x14ac:dyDescent="0.2">
      <c r="A28" s="14"/>
      <c r="D28" s="6">
        <v>16</v>
      </c>
      <c r="E28" s="6">
        <v>17</v>
      </c>
      <c r="F28" s="6">
        <v>18</v>
      </c>
      <c r="G28" s="6">
        <v>19</v>
      </c>
      <c r="H28" s="6">
        <v>20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P28" s="4">
        <v>0.5</v>
      </c>
      <c r="Q28" s="4">
        <v>0.5</v>
      </c>
      <c r="R28" s="4">
        <v>0.5</v>
      </c>
      <c r="S28" s="4">
        <v>0.5</v>
      </c>
      <c r="T28" s="4">
        <v>0.5</v>
      </c>
      <c r="V28" s="4">
        <v>0.5</v>
      </c>
      <c r="W28" s="4">
        <v>0.75</v>
      </c>
      <c r="X28" s="4">
        <v>1</v>
      </c>
      <c r="Y28" s="4">
        <v>1.5</v>
      </c>
      <c r="Z28" s="4">
        <v>2</v>
      </c>
      <c r="AB28" s="4">
        <v>1</v>
      </c>
      <c r="AC28" s="4">
        <v>1</v>
      </c>
      <c r="AD28" s="4">
        <v>1</v>
      </c>
      <c r="AE28" s="4">
        <v>1</v>
      </c>
      <c r="AF28" s="4">
        <v>1</v>
      </c>
      <c r="AH28" s="4">
        <v>1</v>
      </c>
      <c r="AI28" s="4">
        <v>1</v>
      </c>
      <c r="AJ28" s="4">
        <v>1</v>
      </c>
      <c r="AK28" s="4">
        <v>1</v>
      </c>
      <c r="AL28" s="4">
        <v>1</v>
      </c>
      <c r="AN28" s="4">
        <f t="shared" si="21"/>
        <v>6</v>
      </c>
      <c r="AO28" s="4">
        <f t="shared" si="22"/>
        <v>5.75</v>
      </c>
      <c r="AP28" s="4">
        <f t="shared" si="23"/>
        <v>5.5</v>
      </c>
      <c r="AQ28" s="4">
        <f t="shared" si="24"/>
        <v>5</v>
      </c>
      <c r="AR28" s="4">
        <f t="shared" si="25"/>
        <v>4.5</v>
      </c>
    </row>
    <row r="29" spans="1:44" x14ac:dyDescent="0.2">
      <c r="A29" s="14"/>
      <c r="D29" s="6">
        <v>21</v>
      </c>
      <c r="E29" s="6">
        <v>22</v>
      </c>
      <c r="F29" s="6">
        <v>23</v>
      </c>
      <c r="G29" s="6">
        <v>24</v>
      </c>
      <c r="H29" s="6">
        <v>25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P29" s="4">
        <v>0.5</v>
      </c>
      <c r="Q29" s="4">
        <v>0.5</v>
      </c>
      <c r="R29" s="4">
        <v>0.5</v>
      </c>
      <c r="S29" s="4">
        <v>0.5</v>
      </c>
      <c r="T29" s="4">
        <v>0.5</v>
      </c>
      <c r="V29" s="4">
        <v>0.5</v>
      </c>
      <c r="W29" s="4">
        <v>0.75</v>
      </c>
      <c r="X29" s="4">
        <v>1</v>
      </c>
      <c r="Y29" s="4">
        <v>1.5</v>
      </c>
      <c r="Z29" s="4">
        <v>2</v>
      </c>
      <c r="AB29" s="4">
        <v>2</v>
      </c>
      <c r="AC29" s="4">
        <v>2</v>
      </c>
      <c r="AD29" s="4">
        <v>2</v>
      </c>
      <c r="AE29" s="4">
        <v>2</v>
      </c>
      <c r="AF29" s="4">
        <v>2</v>
      </c>
      <c r="AH29" s="4">
        <v>1</v>
      </c>
      <c r="AI29" s="4">
        <v>1</v>
      </c>
      <c r="AJ29" s="4">
        <v>1</v>
      </c>
      <c r="AK29" s="4">
        <v>1</v>
      </c>
      <c r="AL29" s="4">
        <v>1</v>
      </c>
      <c r="AN29" s="4">
        <f t="shared" si="21"/>
        <v>5</v>
      </c>
      <c r="AO29" s="4">
        <f t="shared" si="22"/>
        <v>4.75</v>
      </c>
      <c r="AP29" s="4">
        <f t="shared" si="23"/>
        <v>4.5</v>
      </c>
      <c r="AQ29" s="4">
        <f t="shared" si="24"/>
        <v>4</v>
      </c>
      <c r="AR29" s="4">
        <f t="shared" si="25"/>
        <v>3.5</v>
      </c>
    </row>
    <row r="31" spans="1:44" x14ac:dyDescent="0.2">
      <c r="A31" s="15" t="s">
        <v>10</v>
      </c>
      <c r="D31" s="6">
        <v>1</v>
      </c>
      <c r="E31" s="6">
        <v>2</v>
      </c>
      <c r="F31" s="6">
        <v>3</v>
      </c>
      <c r="G31" s="6">
        <v>4</v>
      </c>
      <c r="H31" s="6">
        <v>5</v>
      </c>
      <c r="J31" s="5">
        <v>2</v>
      </c>
      <c r="K31" s="5">
        <v>2</v>
      </c>
      <c r="L31" s="5">
        <v>2</v>
      </c>
      <c r="M31" s="5">
        <v>2</v>
      </c>
      <c r="N31" s="5">
        <v>2</v>
      </c>
      <c r="P31" s="5">
        <v>0.5</v>
      </c>
      <c r="Q31" s="5">
        <v>0.5</v>
      </c>
      <c r="R31" s="5">
        <v>0.5</v>
      </c>
      <c r="S31" s="5">
        <v>0.5</v>
      </c>
      <c r="T31" s="5">
        <v>0.5</v>
      </c>
      <c r="V31" s="5">
        <v>0.5</v>
      </c>
      <c r="W31" s="5">
        <v>0.75</v>
      </c>
      <c r="X31" s="5">
        <v>1</v>
      </c>
      <c r="Y31" s="5">
        <v>1.5</v>
      </c>
      <c r="Z31" s="5">
        <v>2</v>
      </c>
      <c r="AB31" s="5">
        <v>0.25</v>
      </c>
      <c r="AC31" s="5">
        <v>0.25</v>
      </c>
      <c r="AD31" s="5">
        <v>0.25</v>
      </c>
      <c r="AE31" s="5">
        <v>0.25</v>
      </c>
      <c r="AF31" s="5">
        <v>0.25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N31" s="5">
        <f t="shared" si="21"/>
        <v>5.75</v>
      </c>
      <c r="AO31" s="5">
        <f t="shared" si="22"/>
        <v>5.5</v>
      </c>
      <c r="AP31" s="5">
        <f t="shared" si="23"/>
        <v>5.25</v>
      </c>
      <c r="AQ31" s="5">
        <f t="shared" si="24"/>
        <v>4.75</v>
      </c>
      <c r="AR31" s="5">
        <f t="shared" si="25"/>
        <v>4.25</v>
      </c>
    </row>
    <row r="32" spans="1:44" x14ac:dyDescent="0.2">
      <c r="A32" s="15"/>
      <c r="D32" s="6">
        <v>6</v>
      </c>
      <c r="E32" s="6">
        <v>7</v>
      </c>
      <c r="F32" s="6">
        <v>8</v>
      </c>
      <c r="G32" s="6">
        <v>9</v>
      </c>
      <c r="H32" s="6">
        <v>10</v>
      </c>
      <c r="J32" s="5">
        <v>2</v>
      </c>
      <c r="K32" s="5">
        <v>2</v>
      </c>
      <c r="L32" s="5">
        <v>2</v>
      </c>
      <c r="M32" s="5">
        <v>2</v>
      </c>
      <c r="N32" s="5">
        <v>2</v>
      </c>
      <c r="P32" s="5">
        <v>0.5</v>
      </c>
      <c r="Q32" s="5">
        <v>0.5</v>
      </c>
      <c r="R32" s="5">
        <v>0.5</v>
      </c>
      <c r="S32" s="5">
        <v>0.5</v>
      </c>
      <c r="T32" s="5">
        <v>0.5</v>
      </c>
      <c r="V32" s="5">
        <v>0.5</v>
      </c>
      <c r="W32" s="5">
        <v>0.75</v>
      </c>
      <c r="X32" s="5">
        <v>1</v>
      </c>
      <c r="Y32" s="5">
        <v>1.5</v>
      </c>
      <c r="Z32" s="5">
        <v>2</v>
      </c>
      <c r="AB32" s="5">
        <v>0.5</v>
      </c>
      <c r="AC32" s="5">
        <v>0.5</v>
      </c>
      <c r="AD32" s="5">
        <v>0.5</v>
      </c>
      <c r="AE32" s="5">
        <v>0.5</v>
      </c>
      <c r="AF32" s="5">
        <v>0.5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N32" s="5">
        <f t="shared" si="21"/>
        <v>5.5</v>
      </c>
      <c r="AO32" s="5">
        <f t="shared" si="22"/>
        <v>5.25</v>
      </c>
      <c r="AP32" s="5">
        <f t="shared" si="23"/>
        <v>5</v>
      </c>
      <c r="AQ32" s="5">
        <f t="shared" si="24"/>
        <v>4.5</v>
      </c>
      <c r="AR32" s="5">
        <f t="shared" si="25"/>
        <v>4</v>
      </c>
    </row>
    <row r="33" spans="1:44" x14ac:dyDescent="0.2">
      <c r="A33" s="15"/>
      <c r="D33" s="6">
        <v>11</v>
      </c>
      <c r="E33" s="6">
        <v>12</v>
      </c>
      <c r="F33" s="6">
        <v>13</v>
      </c>
      <c r="G33" s="6">
        <v>14</v>
      </c>
      <c r="H33" s="6">
        <v>15</v>
      </c>
      <c r="J33" s="5">
        <v>2</v>
      </c>
      <c r="K33" s="5">
        <v>2</v>
      </c>
      <c r="L33" s="5">
        <v>2</v>
      </c>
      <c r="M33" s="5">
        <v>2</v>
      </c>
      <c r="N33" s="5">
        <v>2</v>
      </c>
      <c r="P33" s="5">
        <v>0.5</v>
      </c>
      <c r="Q33" s="5">
        <v>0.5</v>
      </c>
      <c r="R33" s="5">
        <v>0.5</v>
      </c>
      <c r="S33" s="5">
        <v>0.5</v>
      </c>
      <c r="T33" s="5">
        <v>0.5</v>
      </c>
      <c r="V33" s="5">
        <v>0.5</v>
      </c>
      <c r="W33" s="5">
        <v>0.75</v>
      </c>
      <c r="X33" s="5">
        <v>1</v>
      </c>
      <c r="Y33" s="5">
        <v>1.5</v>
      </c>
      <c r="Z33" s="5">
        <v>2</v>
      </c>
      <c r="AB33" s="5">
        <v>0.75</v>
      </c>
      <c r="AC33" s="5">
        <v>0.75</v>
      </c>
      <c r="AD33" s="5">
        <v>0.75</v>
      </c>
      <c r="AE33" s="5">
        <v>0.75</v>
      </c>
      <c r="AF33" s="5">
        <v>0.75</v>
      </c>
      <c r="AH33" s="5">
        <v>1</v>
      </c>
      <c r="AI33" s="5">
        <v>1</v>
      </c>
      <c r="AJ33" s="5">
        <v>1</v>
      </c>
      <c r="AK33" s="5">
        <v>1</v>
      </c>
      <c r="AL33" s="5">
        <v>1</v>
      </c>
      <c r="AN33" s="5">
        <f t="shared" si="21"/>
        <v>5.25</v>
      </c>
      <c r="AO33" s="5">
        <f t="shared" si="22"/>
        <v>5</v>
      </c>
      <c r="AP33" s="5">
        <f t="shared" si="23"/>
        <v>4.75</v>
      </c>
      <c r="AQ33" s="5">
        <f t="shared" si="24"/>
        <v>4.25</v>
      </c>
      <c r="AR33" s="5">
        <f t="shared" si="25"/>
        <v>3.75</v>
      </c>
    </row>
    <row r="34" spans="1:44" x14ac:dyDescent="0.2">
      <c r="A34" s="15"/>
      <c r="D34" s="6">
        <v>16</v>
      </c>
      <c r="E34" s="6">
        <v>17</v>
      </c>
      <c r="F34" s="6">
        <v>18</v>
      </c>
      <c r="G34" s="6">
        <v>19</v>
      </c>
      <c r="H34" s="6">
        <v>20</v>
      </c>
      <c r="J34" s="5">
        <v>2</v>
      </c>
      <c r="K34" s="5">
        <v>2</v>
      </c>
      <c r="L34" s="5">
        <v>2</v>
      </c>
      <c r="M34" s="5">
        <v>2</v>
      </c>
      <c r="N34" s="5">
        <v>2</v>
      </c>
      <c r="P34" s="5">
        <v>0.5</v>
      </c>
      <c r="Q34" s="5">
        <v>0.5</v>
      </c>
      <c r="R34" s="5">
        <v>0.5</v>
      </c>
      <c r="S34" s="5">
        <v>0.5</v>
      </c>
      <c r="T34" s="5">
        <v>0.5</v>
      </c>
      <c r="V34" s="5">
        <v>0.5</v>
      </c>
      <c r="W34" s="5">
        <v>0.75</v>
      </c>
      <c r="X34" s="5">
        <v>1</v>
      </c>
      <c r="Y34" s="5">
        <v>1.5</v>
      </c>
      <c r="Z34" s="5">
        <v>2</v>
      </c>
      <c r="AB34" s="5">
        <v>1</v>
      </c>
      <c r="AC34" s="5">
        <v>1</v>
      </c>
      <c r="AD34" s="5">
        <v>1</v>
      </c>
      <c r="AE34" s="5">
        <v>1</v>
      </c>
      <c r="AF34" s="5">
        <v>1</v>
      </c>
      <c r="AH34" s="5">
        <v>1</v>
      </c>
      <c r="AI34" s="5">
        <v>1</v>
      </c>
      <c r="AJ34" s="5">
        <v>1</v>
      </c>
      <c r="AK34" s="5">
        <v>1</v>
      </c>
      <c r="AL34" s="5">
        <v>1</v>
      </c>
      <c r="AN34" s="5">
        <f t="shared" si="21"/>
        <v>5</v>
      </c>
      <c r="AO34" s="5">
        <f t="shared" si="22"/>
        <v>4.75</v>
      </c>
      <c r="AP34" s="5">
        <f t="shared" si="23"/>
        <v>4.5</v>
      </c>
      <c r="AQ34" s="5">
        <f t="shared" si="24"/>
        <v>4</v>
      </c>
      <c r="AR34" s="5">
        <f t="shared" si="25"/>
        <v>3.5</v>
      </c>
    </row>
    <row r="35" spans="1:44" x14ac:dyDescent="0.2">
      <c r="A35" s="15"/>
      <c r="D35" s="6">
        <v>21</v>
      </c>
      <c r="E35" s="6">
        <v>22</v>
      </c>
      <c r="F35" s="6">
        <v>23</v>
      </c>
      <c r="G35" s="6">
        <v>24</v>
      </c>
      <c r="H35" s="6">
        <v>25</v>
      </c>
      <c r="J35" s="5">
        <v>2</v>
      </c>
      <c r="K35" s="5">
        <v>2</v>
      </c>
      <c r="L35" s="5">
        <v>2</v>
      </c>
      <c r="M35" s="5">
        <v>2</v>
      </c>
      <c r="N35" s="5">
        <v>2</v>
      </c>
      <c r="P35" s="5">
        <v>0.5</v>
      </c>
      <c r="Q35" s="5">
        <v>0.5</v>
      </c>
      <c r="R35" s="5">
        <v>0.5</v>
      </c>
      <c r="S35" s="5">
        <v>0.5</v>
      </c>
      <c r="T35" s="5">
        <v>0.5</v>
      </c>
      <c r="V35" s="5">
        <v>0.5</v>
      </c>
      <c r="W35" s="5">
        <v>0.75</v>
      </c>
      <c r="X35" s="5">
        <v>1</v>
      </c>
      <c r="Y35" s="5">
        <v>1.5</v>
      </c>
      <c r="Z35" s="5">
        <v>2</v>
      </c>
      <c r="AB35" s="5">
        <v>2</v>
      </c>
      <c r="AC35" s="5">
        <v>2</v>
      </c>
      <c r="AD35" s="5">
        <v>2</v>
      </c>
      <c r="AE35" s="5">
        <v>2</v>
      </c>
      <c r="AF35" s="5">
        <v>2</v>
      </c>
      <c r="AH35" s="5">
        <v>1</v>
      </c>
      <c r="AI35" s="5">
        <v>1</v>
      </c>
      <c r="AJ35" s="5">
        <v>1</v>
      </c>
      <c r="AK35" s="5">
        <v>1</v>
      </c>
      <c r="AL35" s="5">
        <v>1</v>
      </c>
      <c r="AN35" s="5">
        <f t="shared" si="21"/>
        <v>4</v>
      </c>
      <c r="AO35" s="5">
        <f t="shared" si="22"/>
        <v>3.75</v>
      </c>
      <c r="AP35" s="5">
        <f t="shared" si="23"/>
        <v>3.5</v>
      </c>
      <c r="AQ35" s="5">
        <f t="shared" si="24"/>
        <v>3</v>
      </c>
      <c r="AR35" s="5">
        <f t="shared" si="25"/>
        <v>2.5</v>
      </c>
    </row>
    <row r="39" spans="1:44" ht="17" thickBot="1" x14ac:dyDescent="0.25"/>
    <row r="40" spans="1:44" ht="18" thickBot="1" x14ac:dyDescent="0.25">
      <c r="A40" s="7" t="s">
        <v>16</v>
      </c>
      <c r="B40" s="8" t="s">
        <v>17</v>
      </c>
    </row>
    <row r="41" spans="1:44" ht="18" thickBot="1" x14ac:dyDescent="0.25">
      <c r="A41" s="7" t="s">
        <v>18</v>
      </c>
      <c r="B41" s="9">
        <v>0.35</v>
      </c>
    </row>
    <row r="42" spans="1:44" ht="18" thickBot="1" x14ac:dyDescent="0.25">
      <c r="A42" s="7" t="s">
        <v>19</v>
      </c>
      <c r="B42" s="9">
        <v>3.3000000000000002E-2</v>
      </c>
    </row>
    <row r="43" spans="1:44" ht="18" thickBot="1" x14ac:dyDescent="0.25">
      <c r="A43" s="7" t="s">
        <v>20</v>
      </c>
      <c r="B43" s="9">
        <v>0.04</v>
      </c>
    </row>
    <row r="44" spans="1:44" ht="18" thickBot="1" x14ac:dyDescent="0.25">
      <c r="A44" s="7" t="s">
        <v>21</v>
      </c>
      <c r="B44" s="9">
        <v>5.0000000000000001E-3</v>
      </c>
    </row>
    <row r="45" spans="1:44" ht="18" thickBot="1" x14ac:dyDescent="0.25">
      <c r="A45" s="7" t="s">
        <v>22</v>
      </c>
      <c r="B45" s="9">
        <v>2.4000000000000001E-4</v>
      </c>
    </row>
  </sheetData>
  <mergeCells count="6">
    <mergeCell ref="A25:A29"/>
    <mergeCell ref="A31:A35"/>
    <mergeCell ref="A1:E2"/>
    <mergeCell ref="A7:A11"/>
    <mergeCell ref="A13:A17"/>
    <mergeCell ref="A19:A23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F55A-7E4A-DC45-AA1F-660285726086}">
  <dimension ref="A1:G50"/>
  <sheetViews>
    <sheetView tabSelected="1" workbookViewId="0">
      <selection activeCell="D30" sqref="D30"/>
    </sheetView>
  </sheetViews>
  <sheetFormatPr baseColWidth="10" defaultRowHeight="16" x14ac:dyDescent="0.2"/>
  <cols>
    <col min="1" max="1" width="28.5" customWidth="1"/>
  </cols>
  <sheetData>
    <row r="1" spans="1:7" x14ac:dyDescent="0.2">
      <c r="A1" s="13"/>
    </row>
    <row r="2" spans="1:7" ht="17" thickBot="1" x14ac:dyDescent="0.25">
      <c r="A2" s="10" t="s">
        <v>23</v>
      </c>
    </row>
    <row r="3" spans="1:7" x14ac:dyDescent="0.2">
      <c r="A3" s="11" t="s">
        <v>24</v>
      </c>
      <c r="B3" s="20" t="s">
        <v>26</v>
      </c>
      <c r="C3" s="20">
        <v>0.5</v>
      </c>
      <c r="D3" s="20">
        <v>0.75</v>
      </c>
      <c r="E3" s="20">
        <v>1</v>
      </c>
      <c r="F3" s="20">
        <v>1.5</v>
      </c>
      <c r="G3" s="20">
        <v>2</v>
      </c>
    </row>
    <row r="4" spans="1:7" ht="17" thickBot="1" x14ac:dyDescent="0.25">
      <c r="A4" s="12" t="s">
        <v>25</v>
      </c>
      <c r="B4" s="21"/>
      <c r="C4" s="21"/>
      <c r="D4" s="21"/>
      <c r="E4" s="21"/>
      <c r="F4" s="21"/>
      <c r="G4" s="21"/>
    </row>
    <row r="5" spans="1:7" ht="17" thickBot="1" x14ac:dyDescent="0.25">
      <c r="A5" s="8" t="s">
        <v>27</v>
      </c>
      <c r="B5" s="8"/>
      <c r="C5" s="8"/>
      <c r="D5" s="8"/>
      <c r="E5" s="8"/>
      <c r="F5" s="8"/>
      <c r="G5" s="8"/>
    </row>
    <row r="6" spans="1:7" ht="17" thickBot="1" x14ac:dyDescent="0.25">
      <c r="A6" s="8">
        <v>0.25</v>
      </c>
      <c r="B6" s="8"/>
      <c r="C6" s="8">
        <v>1</v>
      </c>
      <c r="D6" s="8">
        <v>2</v>
      </c>
      <c r="E6" s="8">
        <v>3</v>
      </c>
      <c r="F6" s="8">
        <v>4</v>
      </c>
      <c r="G6" s="8">
        <v>5</v>
      </c>
    </row>
    <row r="7" spans="1:7" ht="17" thickBot="1" x14ac:dyDescent="0.25">
      <c r="A7" s="8">
        <v>0.5</v>
      </c>
      <c r="B7" s="8"/>
      <c r="C7" s="8">
        <v>6</v>
      </c>
      <c r="D7" s="8">
        <v>7</v>
      </c>
      <c r="E7" s="8">
        <v>8</v>
      </c>
      <c r="F7" s="8">
        <v>9</v>
      </c>
      <c r="G7" s="8">
        <v>10</v>
      </c>
    </row>
    <row r="8" spans="1:7" ht="17" thickBot="1" x14ac:dyDescent="0.25">
      <c r="A8" s="8">
        <v>0.75</v>
      </c>
      <c r="B8" s="8"/>
      <c r="C8" s="8">
        <v>11</v>
      </c>
      <c r="D8" s="8">
        <v>12</v>
      </c>
      <c r="E8" s="8">
        <v>13</v>
      </c>
      <c r="F8" s="8">
        <v>14</v>
      </c>
      <c r="G8" s="8">
        <v>15</v>
      </c>
    </row>
    <row r="9" spans="1:7" ht="17" thickBot="1" x14ac:dyDescent="0.25">
      <c r="A9" s="8">
        <v>1</v>
      </c>
      <c r="B9" s="8"/>
      <c r="C9" s="8">
        <v>16</v>
      </c>
      <c r="D9" s="8">
        <v>17</v>
      </c>
      <c r="E9" s="8">
        <v>18</v>
      </c>
      <c r="F9" s="8">
        <v>19</v>
      </c>
      <c r="G9" s="8">
        <v>20</v>
      </c>
    </row>
    <row r="10" spans="1:7" ht="17" thickBot="1" x14ac:dyDescent="0.25">
      <c r="A10" s="8">
        <v>2</v>
      </c>
      <c r="B10" s="8"/>
      <c r="C10" s="8">
        <v>21</v>
      </c>
      <c r="D10" s="8">
        <v>22</v>
      </c>
      <c r="E10" s="8">
        <v>23</v>
      </c>
      <c r="F10" s="8">
        <v>24</v>
      </c>
      <c r="G10" s="8">
        <v>25</v>
      </c>
    </row>
    <row r="11" spans="1:7" x14ac:dyDescent="0.2">
      <c r="A11" s="10"/>
    </row>
    <row r="12" spans="1:7" ht="17" thickBot="1" x14ac:dyDescent="0.25">
      <c r="A12" s="10" t="s">
        <v>28</v>
      </c>
    </row>
    <row r="13" spans="1:7" x14ac:dyDescent="0.2">
      <c r="A13" s="11" t="s">
        <v>29</v>
      </c>
      <c r="B13" s="20" t="s">
        <v>26</v>
      </c>
      <c r="C13" s="20">
        <v>0.5</v>
      </c>
      <c r="D13" s="20">
        <v>0.75</v>
      </c>
      <c r="E13" s="20">
        <v>1</v>
      </c>
      <c r="F13" s="20">
        <v>1.5</v>
      </c>
      <c r="G13" s="20">
        <v>2</v>
      </c>
    </row>
    <row r="14" spans="1:7" ht="17" thickBot="1" x14ac:dyDescent="0.25">
      <c r="A14" s="12" t="s">
        <v>25</v>
      </c>
      <c r="B14" s="21"/>
      <c r="C14" s="21"/>
      <c r="D14" s="21"/>
      <c r="E14" s="21"/>
      <c r="F14" s="21"/>
      <c r="G14" s="21"/>
    </row>
    <row r="15" spans="1:7" ht="17" thickBot="1" x14ac:dyDescent="0.25">
      <c r="A15" s="8" t="s">
        <v>27</v>
      </c>
      <c r="B15" s="8"/>
      <c r="C15" s="8"/>
      <c r="D15" s="8"/>
      <c r="E15" s="8"/>
      <c r="F15" s="8"/>
      <c r="G15" s="8"/>
    </row>
    <row r="16" spans="1:7" ht="17" thickBot="1" x14ac:dyDescent="0.25">
      <c r="A16" s="8">
        <v>0.25</v>
      </c>
      <c r="B16" s="8"/>
      <c r="C16" s="8">
        <v>1</v>
      </c>
      <c r="D16" s="8">
        <v>2</v>
      </c>
      <c r="E16" s="8">
        <v>3</v>
      </c>
      <c r="F16" s="8">
        <v>4</v>
      </c>
      <c r="G16" s="8">
        <v>5</v>
      </c>
    </row>
    <row r="17" spans="1:7" ht="17" thickBot="1" x14ac:dyDescent="0.25">
      <c r="A17" s="8">
        <v>0.5</v>
      </c>
      <c r="B17" s="8"/>
      <c r="C17" s="8">
        <v>6</v>
      </c>
      <c r="D17" s="8">
        <v>7</v>
      </c>
      <c r="E17" s="8">
        <v>8</v>
      </c>
      <c r="F17" s="8">
        <v>9</v>
      </c>
      <c r="G17" s="8">
        <v>10</v>
      </c>
    </row>
    <row r="18" spans="1:7" ht="17" thickBot="1" x14ac:dyDescent="0.25">
      <c r="A18" s="8">
        <v>0.75</v>
      </c>
      <c r="B18" s="8"/>
      <c r="C18" s="8">
        <v>11</v>
      </c>
      <c r="D18" s="8">
        <v>12</v>
      </c>
      <c r="E18" s="8">
        <v>13</v>
      </c>
      <c r="F18" s="8">
        <v>14</v>
      </c>
      <c r="G18" s="8">
        <v>15</v>
      </c>
    </row>
    <row r="19" spans="1:7" ht="17" thickBot="1" x14ac:dyDescent="0.25">
      <c r="A19" s="8">
        <v>1</v>
      </c>
      <c r="B19" s="8"/>
      <c r="C19" s="8">
        <v>16</v>
      </c>
      <c r="D19" s="8">
        <v>17</v>
      </c>
      <c r="E19" s="8">
        <v>18</v>
      </c>
      <c r="F19" s="8">
        <v>19</v>
      </c>
      <c r="G19" s="8">
        <v>20</v>
      </c>
    </row>
    <row r="20" spans="1:7" ht="17" thickBot="1" x14ac:dyDescent="0.25">
      <c r="A20" s="8">
        <v>2</v>
      </c>
      <c r="B20" s="8"/>
      <c r="C20" s="8">
        <v>21</v>
      </c>
      <c r="D20" s="8">
        <v>22</v>
      </c>
      <c r="E20" s="8">
        <v>23</v>
      </c>
      <c r="F20" s="8">
        <v>24</v>
      </c>
      <c r="G20" s="8">
        <v>25</v>
      </c>
    </row>
    <row r="21" spans="1:7" x14ac:dyDescent="0.2">
      <c r="A21" s="10"/>
    </row>
    <row r="22" spans="1:7" ht="17" thickBot="1" x14ac:dyDescent="0.25">
      <c r="A22" s="10" t="s">
        <v>30</v>
      </c>
    </row>
    <row r="23" spans="1:7" x14ac:dyDescent="0.2">
      <c r="A23" s="11" t="s">
        <v>31</v>
      </c>
      <c r="B23" s="20" t="s">
        <v>26</v>
      </c>
      <c r="C23" s="20">
        <v>0.5</v>
      </c>
      <c r="D23" s="20">
        <v>0.75</v>
      </c>
      <c r="E23" s="20">
        <v>1</v>
      </c>
      <c r="F23" s="20">
        <v>1.5</v>
      </c>
      <c r="G23" s="20">
        <v>2</v>
      </c>
    </row>
    <row r="24" spans="1:7" ht="17" thickBot="1" x14ac:dyDescent="0.25">
      <c r="A24" s="12" t="s">
        <v>25</v>
      </c>
      <c r="B24" s="21"/>
      <c r="C24" s="21"/>
      <c r="D24" s="21"/>
      <c r="E24" s="21"/>
      <c r="F24" s="21"/>
      <c r="G24" s="21"/>
    </row>
    <row r="25" spans="1:7" ht="17" thickBot="1" x14ac:dyDescent="0.25">
      <c r="A25" s="8" t="s">
        <v>27</v>
      </c>
      <c r="B25" s="8"/>
      <c r="C25" s="8"/>
      <c r="D25" s="8"/>
      <c r="E25" s="8"/>
      <c r="F25" s="8"/>
      <c r="G25" s="8"/>
    </row>
    <row r="26" spans="1:7" ht="17" thickBot="1" x14ac:dyDescent="0.25">
      <c r="A26" s="8">
        <v>0.25</v>
      </c>
      <c r="B26" s="8"/>
      <c r="C26" s="8">
        <v>1</v>
      </c>
      <c r="D26" s="8">
        <v>2</v>
      </c>
      <c r="E26" s="8">
        <v>3</v>
      </c>
      <c r="F26" s="8">
        <v>4</v>
      </c>
      <c r="G26" s="8">
        <v>5</v>
      </c>
    </row>
    <row r="27" spans="1:7" ht="17" thickBot="1" x14ac:dyDescent="0.25">
      <c r="A27" s="8">
        <v>0.5</v>
      </c>
      <c r="B27" s="8"/>
      <c r="C27" s="8">
        <v>6</v>
      </c>
      <c r="D27" s="8">
        <v>7</v>
      </c>
      <c r="E27" s="8">
        <v>8</v>
      </c>
      <c r="F27" s="8">
        <v>9</v>
      </c>
      <c r="G27" s="8">
        <v>10</v>
      </c>
    </row>
    <row r="28" spans="1:7" ht="17" thickBot="1" x14ac:dyDescent="0.25">
      <c r="A28" s="8">
        <v>0.75</v>
      </c>
      <c r="B28" s="8"/>
      <c r="C28" s="8">
        <v>11</v>
      </c>
      <c r="D28" s="8">
        <v>12</v>
      </c>
      <c r="E28" s="8">
        <v>13</v>
      </c>
      <c r="F28" s="8">
        <v>14</v>
      </c>
      <c r="G28" s="8">
        <v>15</v>
      </c>
    </row>
    <row r="29" spans="1:7" ht="17" thickBot="1" x14ac:dyDescent="0.25">
      <c r="A29" s="8">
        <v>1</v>
      </c>
      <c r="B29" s="8"/>
      <c r="C29" s="8">
        <v>16</v>
      </c>
      <c r="D29" s="8">
        <v>17</v>
      </c>
      <c r="E29" s="8">
        <v>18</v>
      </c>
      <c r="F29" s="8">
        <v>19</v>
      </c>
      <c r="G29" s="8">
        <v>20</v>
      </c>
    </row>
    <row r="30" spans="1:7" ht="17" thickBot="1" x14ac:dyDescent="0.25">
      <c r="A30" s="8">
        <v>2</v>
      </c>
      <c r="B30" s="8"/>
      <c r="C30" s="8">
        <v>21</v>
      </c>
      <c r="D30" s="8">
        <v>22</v>
      </c>
      <c r="E30" s="8">
        <v>23</v>
      </c>
      <c r="F30" s="8">
        <v>24</v>
      </c>
      <c r="G30" s="8">
        <v>25</v>
      </c>
    </row>
    <row r="31" spans="1:7" x14ac:dyDescent="0.2">
      <c r="A31" s="10"/>
    </row>
    <row r="32" spans="1:7" ht="17" thickBot="1" x14ac:dyDescent="0.25">
      <c r="A32" s="10" t="s">
        <v>32</v>
      </c>
    </row>
    <row r="33" spans="1:7" x14ac:dyDescent="0.2">
      <c r="A33" s="11" t="s">
        <v>33</v>
      </c>
      <c r="B33" s="20" t="s">
        <v>26</v>
      </c>
      <c r="C33" s="20">
        <v>0.5</v>
      </c>
      <c r="D33" s="20">
        <v>0.75</v>
      </c>
      <c r="E33" s="20">
        <v>1</v>
      </c>
      <c r="F33" s="20">
        <v>1.5</v>
      </c>
      <c r="G33" s="20">
        <v>2</v>
      </c>
    </row>
    <row r="34" spans="1:7" ht="17" thickBot="1" x14ac:dyDescent="0.25">
      <c r="A34" s="12" t="s">
        <v>25</v>
      </c>
      <c r="B34" s="21"/>
      <c r="C34" s="21"/>
      <c r="D34" s="21"/>
      <c r="E34" s="21"/>
      <c r="F34" s="21"/>
      <c r="G34" s="21"/>
    </row>
    <row r="35" spans="1:7" ht="17" thickBot="1" x14ac:dyDescent="0.25">
      <c r="A35" s="8" t="s">
        <v>27</v>
      </c>
      <c r="B35" s="8"/>
      <c r="C35" s="8"/>
      <c r="D35" s="8"/>
      <c r="E35" s="8"/>
      <c r="F35" s="8"/>
      <c r="G35" s="8"/>
    </row>
    <row r="36" spans="1:7" ht="17" thickBot="1" x14ac:dyDescent="0.25">
      <c r="A36" s="8">
        <v>0.25</v>
      </c>
      <c r="B36" s="8"/>
      <c r="C36" s="8">
        <v>1</v>
      </c>
      <c r="D36" s="8">
        <v>2</v>
      </c>
      <c r="E36" s="8">
        <v>3</v>
      </c>
      <c r="F36" s="8">
        <v>4</v>
      </c>
      <c r="G36" s="8">
        <v>5</v>
      </c>
    </row>
    <row r="37" spans="1:7" ht="17" thickBot="1" x14ac:dyDescent="0.25">
      <c r="A37" s="8">
        <v>0.5</v>
      </c>
      <c r="B37" s="8"/>
      <c r="C37" s="8">
        <v>6</v>
      </c>
      <c r="D37" s="8">
        <v>7</v>
      </c>
      <c r="E37" s="8">
        <v>8</v>
      </c>
      <c r="F37" s="8">
        <v>9</v>
      </c>
      <c r="G37" s="8">
        <v>10</v>
      </c>
    </row>
    <row r="38" spans="1:7" ht="17" thickBot="1" x14ac:dyDescent="0.25">
      <c r="A38" s="8">
        <v>0.75</v>
      </c>
      <c r="B38" s="8"/>
      <c r="C38" s="8">
        <v>11</v>
      </c>
      <c r="D38" s="8">
        <v>12</v>
      </c>
      <c r="E38" s="8">
        <v>13</v>
      </c>
      <c r="F38" s="8">
        <v>14</v>
      </c>
      <c r="G38" s="8">
        <v>15</v>
      </c>
    </row>
    <row r="39" spans="1:7" ht="17" thickBot="1" x14ac:dyDescent="0.25">
      <c r="A39" s="8">
        <v>1</v>
      </c>
      <c r="B39" s="8"/>
      <c r="C39" s="8">
        <v>16</v>
      </c>
      <c r="D39" s="8">
        <v>17</v>
      </c>
      <c r="E39" s="8">
        <v>18</v>
      </c>
      <c r="F39" s="8">
        <v>19</v>
      </c>
      <c r="G39" s="8">
        <v>20</v>
      </c>
    </row>
    <row r="40" spans="1:7" ht="17" thickBot="1" x14ac:dyDescent="0.25">
      <c r="A40" s="8">
        <v>2</v>
      </c>
      <c r="B40" s="8"/>
      <c r="C40" s="8">
        <v>21</v>
      </c>
      <c r="D40" s="8">
        <v>22</v>
      </c>
      <c r="E40" s="8">
        <v>23</v>
      </c>
      <c r="F40" s="8">
        <v>24</v>
      </c>
      <c r="G40" s="8">
        <v>25</v>
      </c>
    </row>
    <row r="41" spans="1:7" x14ac:dyDescent="0.2">
      <c r="A41" s="10"/>
    </row>
    <row r="42" spans="1:7" ht="17" thickBot="1" x14ac:dyDescent="0.25">
      <c r="A42" s="10" t="s">
        <v>34</v>
      </c>
    </row>
    <row r="43" spans="1:7" x14ac:dyDescent="0.2">
      <c r="A43" s="11" t="s">
        <v>35</v>
      </c>
      <c r="B43" s="20" t="s">
        <v>26</v>
      </c>
      <c r="C43" s="20">
        <v>0.5</v>
      </c>
      <c r="D43" s="20">
        <v>0.75</v>
      </c>
      <c r="E43" s="20">
        <v>1</v>
      </c>
      <c r="F43" s="20">
        <v>1.5</v>
      </c>
      <c r="G43" s="20">
        <v>2</v>
      </c>
    </row>
    <row r="44" spans="1:7" ht="17" thickBot="1" x14ac:dyDescent="0.25">
      <c r="A44" s="12" t="s">
        <v>25</v>
      </c>
      <c r="B44" s="21"/>
      <c r="C44" s="21"/>
      <c r="D44" s="21"/>
      <c r="E44" s="21"/>
      <c r="F44" s="21"/>
      <c r="G44" s="21"/>
    </row>
    <row r="45" spans="1:7" ht="17" thickBot="1" x14ac:dyDescent="0.25">
      <c r="A45" s="8" t="s">
        <v>27</v>
      </c>
      <c r="B45" s="8"/>
      <c r="C45" s="8"/>
      <c r="D45" s="8"/>
      <c r="E45" s="8"/>
      <c r="F45" s="8"/>
      <c r="G45" s="8"/>
    </row>
    <row r="46" spans="1:7" ht="17" thickBot="1" x14ac:dyDescent="0.25">
      <c r="A46" s="8">
        <v>0.25</v>
      </c>
      <c r="B46" s="8"/>
      <c r="C46" s="8">
        <v>1</v>
      </c>
      <c r="D46" s="8">
        <v>2</v>
      </c>
      <c r="E46" s="8">
        <v>3</v>
      </c>
      <c r="F46" s="8">
        <v>4</v>
      </c>
      <c r="G46" s="8">
        <v>5</v>
      </c>
    </row>
    <row r="47" spans="1:7" ht="17" thickBot="1" x14ac:dyDescent="0.25">
      <c r="A47" s="8">
        <v>0.5</v>
      </c>
      <c r="B47" s="8"/>
      <c r="C47" s="8">
        <v>6</v>
      </c>
      <c r="D47" s="8">
        <v>7</v>
      </c>
      <c r="E47" s="8">
        <v>8</v>
      </c>
      <c r="F47" s="8">
        <v>9</v>
      </c>
      <c r="G47" s="8">
        <v>10</v>
      </c>
    </row>
    <row r="48" spans="1:7" ht="17" thickBot="1" x14ac:dyDescent="0.25">
      <c r="A48" s="8">
        <v>0.75</v>
      </c>
      <c r="B48" s="8"/>
      <c r="C48" s="8">
        <v>11</v>
      </c>
      <c r="D48" s="8">
        <v>12</v>
      </c>
      <c r="E48" s="8">
        <v>13</v>
      </c>
      <c r="F48" s="8">
        <v>14</v>
      </c>
      <c r="G48" s="8">
        <v>15</v>
      </c>
    </row>
    <row r="49" spans="1:7" ht="17" thickBot="1" x14ac:dyDescent="0.25">
      <c r="A49" s="8">
        <v>1</v>
      </c>
      <c r="B49" s="8"/>
      <c r="C49" s="8">
        <v>16</v>
      </c>
      <c r="D49" s="8">
        <v>17</v>
      </c>
      <c r="E49" s="8">
        <v>18</v>
      </c>
      <c r="F49" s="8">
        <v>19</v>
      </c>
      <c r="G49" s="8">
        <v>20</v>
      </c>
    </row>
    <row r="50" spans="1:7" ht="17" thickBot="1" x14ac:dyDescent="0.25">
      <c r="A50" s="8">
        <v>2</v>
      </c>
      <c r="B50" s="8"/>
      <c r="C50" s="8">
        <v>21</v>
      </c>
      <c r="D50" s="8">
        <v>22</v>
      </c>
      <c r="E50" s="8">
        <v>23</v>
      </c>
      <c r="F50" s="8">
        <v>24</v>
      </c>
      <c r="G50" s="8">
        <v>25</v>
      </c>
    </row>
  </sheetData>
  <mergeCells count="30">
    <mergeCell ref="G3:G4"/>
    <mergeCell ref="B3:B4"/>
    <mergeCell ref="C3:C4"/>
    <mergeCell ref="D3:D4"/>
    <mergeCell ref="E3:E4"/>
    <mergeCell ref="F3:F4"/>
    <mergeCell ref="G23:G24"/>
    <mergeCell ref="B13:B14"/>
    <mergeCell ref="C13:C14"/>
    <mergeCell ref="D13:D14"/>
    <mergeCell ref="E13:E14"/>
    <mergeCell ref="F13:F14"/>
    <mergeCell ref="G13:G14"/>
    <mergeCell ref="B23:B24"/>
    <mergeCell ref="C23:C24"/>
    <mergeCell ref="D23:D24"/>
    <mergeCell ref="E23:E24"/>
    <mergeCell ref="F23:F24"/>
    <mergeCell ref="G43:G44"/>
    <mergeCell ref="B33:B34"/>
    <mergeCell ref="C33:C34"/>
    <mergeCell ref="D33:D34"/>
    <mergeCell ref="E33:E34"/>
    <mergeCell ref="F33:F34"/>
    <mergeCell ref="G33:G34"/>
    <mergeCell ref="B43:B44"/>
    <mergeCell ref="C43:C44"/>
    <mergeCell ref="D43:D44"/>
    <mergeCell ref="E43:E44"/>
    <mergeCell ref="F43:F44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9C19-3CF4-8141-99AB-D0DF7B31A553}">
  <dimension ref="A1:AX33"/>
  <sheetViews>
    <sheetView topLeftCell="Y1" workbookViewId="0">
      <selection activeCell="AH24" sqref="AH24"/>
    </sheetView>
  </sheetViews>
  <sheetFormatPr baseColWidth="10" defaultRowHeight="16" x14ac:dyDescent="0.2"/>
  <cols>
    <col min="1" max="1" width="16" customWidth="1"/>
  </cols>
  <sheetData>
    <row r="1" spans="1:50" x14ac:dyDescent="0.2">
      <c r="A1" t="s">
        <v>13</v>
      </c>
    </row>
    <row r="5" spans="1:50" x14ac:dyDescent="0.2">
      <c r="A5" s="17" t="s">
        <v>6</v>
      </c>
      <c r="C5" t="s">
        <v>11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t="s">
        <v>14</v>
      </c>
      <c r="J5">
        <f>0.25+(0.35*2+0.033)/10</f>
        <v>0.32330000000000003</v>
      </c>
      <c r="K5">
        <f t="shared" ref="K5:N9" si="0">0.25+(0.35*2+0.033)/10</f>
        <v>0.32330000000000003</v>
      </c>
      <c r="L5">
        <f t="shared" si="0"/>
        <v>0.32330000000000003</v>
      </c>
      <c r="M5">
        <f t="shared" si="0"/>
        <v>0.32330000000000003</v>
      </c>
      <c r="N5">
        <f t="shared" si="0"/>
        <v>0.32330000000000003</v>
      </c>
      <c r="O5" t="s">
        <v>15</v>
      </c>
      <c r="P5">
        <f>0.25+(0.35*2+0.033)/10</f>
        <v>0.32330000000000003</v>
      </c>
      <c r="Q5">
        <f t="shared" ref="Q5:T9" si="1">0.25+(0.35*2+0.033)/10</f>
        <v>0.32330000000000003</v>
      </c>
      <c r="R5">
        <f t="shared" si="1"/>
        <v>0.32330000000000003</v>
      </c>
      <c r="S5">
        <f t="shared" si="1"/>
        <v>0.32330000000000003</v>
      </c>
      <c r="T5">
        <f t="shared" si="1"/>
        <v>0.32330000000000003</v>
      </c>
      <c r="U5" t="s">
        <v>36</v>
      </c>
      <c r="V5">
        <f>0.25*3+(0.35*4+0.033*4+0.005*9)/10</f>
        <v>0.90769999999999995</v>
      </c>
      <c r="W5">
        <f t="shared" ref="W5:Z9" si="2">0.25*3+(0.35*4+0.033*4+0.005*9)/10</f>
        <v>0.90769999999999995</v>
      </c>
      <c r="X5">
        <f t="shared" si="2"/>
        <v>0.90769999999999995</v>
      </c>
      <c r="Y5">
        <f t="shared" si="2"/>
        <v>0.90769999999999995</v>
      </c>
      <c r="Z5">
        <f t="shared" si="2"/>
        <v>0.90769999999999995</v>
      </c>
      <c r="AA5" t="s">
        <v>37</v>
      </c>
      <c r="AB5">
        <f>0.2+0.25+0.25</f>
        <v>0.7</v>
      </c>
      <c r="AC5">
        <f t="shared" ref="AC5:AF5" si="3">0.2+0.25+0.25</f>
        <v>0.7</v>
      </c>
      <c r="AD5">
        <f t="shared" si="3"/>
        <v>0.7</v>
      </c>
      <c r="AE5">
        <f t="shared" si="3"/>
        <v>0.7</v>
      </c>
      <c r="AF5">
        <f t="shared" si="3"/>
        <v>0.7</v>
      </c>
      <c r="AG5" t="s">
        <v>38</v>
      </c>
      <c r="AH5">
        <f>0.25+0.35</f>
        <v>0.6</v>
      </c>
      <c r="AI5">
        <f t="shared" ref="AI5:AL5" si="4">0.25+0.35</f>
        <v>0.6</v>
      </c>
      <c r="AJ5">
        <f t="shared" si="4"/>
        <v>0.6</v>
      </c>
      <c r="AK5">
        <f t="shared" si="4"/>
        <v>0.6</v>
      </c>
      <c r="AL5">
        <f t="shared" si="4"/>
        <v>0.6</v>
      </c>
      <c r="AM5" t="s">
        <v>39</v>
      </c>
      <c r="AN5">
        <f>0.25*2+0.5*2+0.2*2</f>
        <v>1.9</v>
      </c>
      <c r="AO5">
        <f>0.25*2+0.75*2+0.2*2</f>
        <v>2.4</v>
      </c>
      <c r="AP5">
        <f>0.25*2+1*2+0.2*2</f>
        <v>2.9</v>
      </c>
      <c r="AQ5">
        <f>0.25*2+1.5*2+0.2*2</f>
        <v>3.9</v>
      </c>
      <c r="AR5">
        <f>0.25*2+2*2+0.2*2</f>
        <v>4.9000000000000004</v>
      </c>
      <c r="AS5" t="s">
        <v>40</v>
      </c>
      <c r="AT5">
        <f>0.5</f>
        <v>0.5</v>
      </c>
      <c r="AU5">
        <f>0.75</f>
        <v>0.75</v>
      </c>
      <c r="AV5">
        <f>1</f>
        <v>1</v>
      </c>
      <c r="AW5">
        <f>1.5</f>
        <v>1.5</v>
      </c>
      <c r="AX5">
        <f>2</f>
        <v>2</v>
      </c>
    </row>
    <row r="6" spans="1:50" x14ac:dyDescent="0.2">
      <c r="A6" s="17"/>
      <c r="D6" s="6">
        <v>6</v>
      </c>
      <c r="E6" s="6">
        <v>7</v>
      </c>
      <c r="F6" s="6">
        <v>8</v>
      </c>
      <c r="G6" s="6">
        <v>9</v>
      </c>
      <c r="H6" s="6">
        <v>10</v>
      </c>
      <c r="J6">
        <f t="shared" ref="J6:J9" si="5">0.25+(0.35*2+0.033)/10</f>
        <v>0.32330000000000003</v>
      </c>
      <c r="K6">
        <f t="shared" si="0"/>
        <v>0.32330000000000003</v>
      </c>
      <c r="L6">
        <f t="shared" si="0"/>
        <v>0.32330000000000003</v>
      </c>
      <c r="M6">
        <f t="shared" si="0"/>
        <v>0.32330000000000003</v>
      </c>
      <c r="N6">
        <f t="shared" si="0"/>
        <v>0.32330000000000003</v>
      </c>
      <c r="P6">
        <f t="shared" ref="P6:P9" si="6">0.25+(0.35*2+0.033)/10</f>
        <v>0.32330000000000003</v>
      </c>
      <c r="Q6">
        <f t="shared" si="1"/>
        <v>0.32330000000000003</v>
      </c>
      <c r="R6">
        <f t="shared" si="1"/>
        <v>0.32330000000000003</v>
      </c>
      <c r="S6">
        <f t="shared" si="1"/>
        <v>0.32330000000000003</v>
      </c>
      <c r="T6">
        <f t="shared" si="1"/>
        <v>0.32330000000000003</v>
      </c>
      <c r="V6">
        <f t="shared" ref="V6:V9" si="7">0.25*3+(0.35*4+0.033*4+0.005*9)/10</f>
        <v>0.90769999999999995</v>
      </c>
      <c r="W6">
        <f t="shared" si="2"/>
        <v>0.90769999999999995</v>
      </c>
      <c r="X6">
        <f t="shared" si="2"/>
        <v>0.90769999999999995</v>
      </c>
      <c r="Y6">
        <f t="shared" si="2"/>
        <v>0.90769999999999995</v>
      </c>
      <c r="Z6">
        <f t="shared" si="2"/>
        <v>0.90769999999999995</v>
      </c>
      <c r="AB6">
        <f>0.2+0.5+0.25</f>
        <v>0.95</v>
      </c>
      <c r="AC6">
        <f t="shared" ref="AC6:AF6" si="8">0.2+0.5+0.25</f>
        <v>0.95</v>
      </c>
      <c r="AD6">
        <f t="shared" si="8"/>
        <v>0.95</v>
      </c>
      <c r="AE6">
        <f t="shared" si="8"/>
        <v>0.95</v>
      </c>
      <c r="AF6">
        <f t="shared" si="8"/>
        <v>0.95</v>
      </c>
      <c r="AH6">
        <f>0.5+0.35</f>
        <v>0.85</v>
      </c>
      <c r="AI6">
        <f t="shared" ref="AI6:AL6" si="9">0.5+0.35</f>
        <v>0.85</v>
      </c>
      <c r="AJ6">
        <f t="shared" si="9"/>
        <v>0.85</v>
      </c>
      <c r="AK6">
        <f t="shared" si="9"/>
        <v>0.85</v>
      </c>
      <c r="AL6">
        <f t="shared" si="9"/>
        <v>0.85</v>
      </c>
      <c r="AN6">
        <f t="shared" ref="AN6:AN9" si="10">0.25*2+0.5*2+0.2*2</f>
        <v>1.9</v>
      </c>
      <c r="AO6">
        <f t="shared" ref="AO6:AO9" si="11">0.25*2+0.75*2+0.2*2</f>
        <v>2.4</v>
      </c>
      <c r="AP6">
        <f t="shared" ref="AP6:AP9" si="12">0.25*2+1*2+0.2*2</f>
        <v>2.9</v>
      </c>
      <c r="AQ6">
        <f t="shared" ref="AQ6:AQ9" si="13">0.25*2+1.5*2+0.2*2</f>
        <v>3.9</v>
      </c>
      <c r="AR6">
        <f t="shared" ref="AR6:AR9" si="14">0.25*2+2*2+0.2*2</f>
        <v>4.9000000000000004</v>
      </c>
      <c r="AT6">
        <f t="shared" ref="AT6:AT9" si="15">0.5</f>
        <v>0.5</v>
      </c>
      <c r="AU6">
        <f t="shared" ref="AU6:AU9" si="16">0.75</f>
        <v>0.75</v>
      </c>
      <c r="AV6">
        <f>1</f>
        <v>1</v>
      </c>
      <c r="AW6">
        <f t="shared" ref="AW6:AW9" si="17">1.5</f>
        <v>1.5</v>
      </c>
      <c r="AX6">
        <f>2</f>
        <v>2</v>
      </c>
    </row>
    <row r="7" spans="1:50" x14ac:dyDescent="0.2">
      <c r="A7" s="17"/>
      <c r="D7" s="6">
        <v>11</v>
      </c>
      <c r="E7" s="6">
        <v>12</v>
      </c>
      <c r="F7" s="6">
        <v>13</v>
      </c>
      <c r="G7" s="6">
        <v>14</v>
      </c>
      <c r="H7" s="6">
        <v>15</v>
      </c>
      <c r="J7">
        <f t="shared" si="5"/>
        <v>0.32330000000000003</v>
      </c>
      <c r="K7">
        <f t="shared" si="0"/>
        <v>0.32330000000000003</v>
      </c>
      <c r="L7">
        <f t="shared" si="0"/>
        <v>0.32330000000000003</v>
      </c>
      <c r="M7">
        <f t="shared" si="0"/>
        <v>0.32330000000000003</v>
      </c>
      <c r="N7">
        <f t="shared" si="0"/>
        <v>0.32330000000000003</v>
      </c>
      <c r="P7">
        <f t="shared" si="6"/>
        <v>0.32330000000000003</v>
      </c>
      <c r="Q7">
        <f t="shared" si="1"/>
        <v>0.32330000000000003</v>
      </c>
      <c r="R7">
        <f t="shared" si="1"/>
        <v>0.32330000000000003</v>
      </c>
      <c r="S7">
        <f t="shared" si="1"/>
        <v>0.32330000000000003</v>
      </c>
      <c r="T7">
        <f t="shared" si="1"/>
        <v>0.32330000000000003</v>
      </c>
      <c r="V7">
        <f t="shared" si="7"/>
        <v>0.90769999999999995</v>
      </c>
      <c r="W7">
        <f t="shared" si="2"/>
        <v>0.90769999999999995</v>
      </c>
      <c r="X7">
        <f t="shared" si="2"/>
        <v>0.90769999999999995</v>
      </c>
      <c r="Y7">
        <f t="shared" si="2"/>
        <v>0.90769999999999995</v>
      </c>
      <c r="Z7">
        <f t="shared" si="2"/>
        <v>0.90769999999999995</v>
      </c>
      <c r="AB7">
        <f>0.2+0.75+0.25</f>
        <v>1.2</v>
      </c>
      <c r="AC7">
        <f t="shared" ref="AC7:AF7" si="18">0.2+0.75+0.25</f>
        <v>1.2</v>
      </c>
      <c r="AD7">
        <f t="shared" si="18"/>
        <v>1.2</v>
      </c>
      <c r="AE7">
        <f t="shared" si="18"/>
        <v>1.2</v>
      </c>
      <c r="AF7">
        <f t="shared" si="18"/>
        <v>1.2</v>
      </c>
      <c r="AH7">
        <f>0.75+0.35</f>
        <v>1.1000000000000001</v>
      </c>
      <c r="AI7">
        <f t="shared" ref="AI7:AL7" si="19">0.75+0.35</f>
        <v>1.1000000000000001</v>
      </c>
      <c r="AJ7">
        <f t="shared" si="19"/>
        <v>1.1000000000000001</v>
      </c>
      <c r="AK7">
        <f t="shared" si="19"/>
        <v>1.1000000000000001</v>
      </c>
      <c r="AL7">
        <f t="shared" si="19"/>
        <v>1.1000000000000001</v>
      </c>
      <c r="AN7">
        <f t="shared" si="10"/>
        <v>1.9</v>
      </c>
      <c r="AO7">
        <f t="shared" si="11"/>
        <v>2.4</v>
      </c>
      <c r="AP7">
        <f t="shared" si="12"/>
        <v>2.9</v>
      </c>
      <c r="AQ7">
        <f t="shared" si="13"/>
        <v>3.9</v>
      </c>
      <c r="AR7">
        <f t="shared" si="14"/>
        <v>4.9000000000000004</v>
      </c>
      <c r="AT7">
        <f t="shared" si="15"/>
        <v>0.5</v>
      </c>
      <c r="AU7">
        <f t="shared" si="16"/>
        <v>0.75</v>
      </c>
      <c r="AV7">
        <f>1</f>
        <v>1</v>
      </c>
      <c r="AW7">
        <f t="shared" si="17"/>
        <v>1.5</v>
      </c>
      <c r="AX7">
        <f>2</f>
        <v>2</v>
      </c>
    </row>
    <row r="8" spans="1:50" x14ac:dyDescent="0.2">
      <c r="A8" s="17"/>
      <c r="D8" s="6">
        <v>16</v>
      </c>
      <c r="E8" s="6">
        <v>17</v>
      </c>
      <c r="F8" s="6">
        <v>18</v>
      </c>
      <c r="G8" s="6">
        <v>19</v>
      </c>
      <c r="H8" s="6">
        <v>20</v>
      </c>
      <c r="J8">
        <f t="shared" si="5"/>
        <v>0.32330000000000003</v>
      </c>
      <c r="K8">
        <f t="shared" si="0"/>
        <v>0.32330000000000003</v>
      </c>
      <c r="L8">
        <f t="shared" si="0"/>
        <v>0.32330000000000003</v>
      </c>
      <c r="M8">
        <f t="shared" si="0"/>
        <v>0.32330000000000003</v>
      </c>
      <c r="N8">
        <f t="shared" si="0"/>
        <v>0.32330000000000003</v>
      </c>
      <c r="P8">
        <f t="shared" si="6"/>
        <v>0.32330000000000003</v>
      </c>
      <c r="Q8">
        <f t="shared" si="1"/>
        <v>0.32330000000000003</v>
      </c>
      <c r="R8">
        <f t="shared" si="1"/>
        <v>0.32330000000000003</v>
      </c>
      <c r="S8">
        <f t="shared" si="1"/>
        <v>0.32330000000000003</v>
      </c>
      <c r="T8">
        <f t="shared" si="1"/>
        <v>0.32330000000000003</v>
      </c>
      <c r="V8">
        <f t="shared" si="7"/>
        <v>0.90769999999999995</v>
      </c>
      <c r="W8">
        <f t="shared" si="2"/>
        <v>0.90769999999999995</v>
      </c>
      <c r="X8">
        <f t="shared" si="2"/>
        <v>0.90769999999999995</v>
      </c>
      <c r="Y8">
        <f t="shared" si="2"/>
        <v>0.90769999999999995</v>
      </c>
      <c r="Z8">
        <f t="shared" si="2"/>
        <v>0.90769999999999995</v>
      </c>
      <c r="AB8">
        <f>0.2+1+0.25</f>
        <v>1.45</v>
      </c>
      <c r="AC8">
        <f t="shared" ref="AC8:AF8" si="20">0.2+1+0.25</f>
        <v>1.45</v>
      </c>
      <c r="AD8">
        <f t="shared" si="20"/>
        <v>1.45</v>
      </c>
      <c r="AE8">
        <f t="shared" si="20"/>
        <v>1.45</v>
      </c>
      <c r="AF8">
        <f t="shared" si="20"/>
        <v>1.45</v>
      </c>
      <c r="AH8">
        <f>1+0.35</f>
        <v>1.35</v>
      </c>
      <c r="AI8">
        <f t="shared" ref="AI8:AL8" si="21">1+0.35</f>
        <v>1.35</v>
      </c>
      <c r="AJ8">
        <f t="shared" si="21"/>
        <v>1.35</v>
      </c>
      <c r="AK8">
        <f t="shared" si="21"/>
        <v>1.35</v>
      </c>
      <c r="AL8">
        <f t="shared" si="21"/>
        <v>1.35</v>
      </c>
      <c r="AN8">
        <f t="shared" si="10"/>
        <v>1.9</v>
      </c>
      <c r="AO8">
        <f t="shared" si="11"/>
        <v>2.4</v>
      </c>
      <c r="AP8">
        <f t="shared" si="12"/>
        <v>2.9</v>
      </c>
      <c r="AQ8">
        <f t="shared" si="13"/>
        <v>3.9</v>
      </c>
      <c r="AR8">
        <f t="shared" si="14"/>
        <v>4.9000000000000004</v>
      </c>
      <c r="AT8">
        <f t="shared" si="15"/>
        <v>0.5</v>
      </c>
      <c r="AU8">
        <f t="shared" si="16"/>
        <v>0.75</v>
      </c>
      <c r="AV8">
        <f>1</f>
        <v>1</v>
      </c>
      <c r="AW8">
        <f t="shared" si="17"/>
        <v>1.5</v>
      </c>
      <c r="AX8">
        <f>2</f>
        <v>2</v>
      </c>
    </row>
    <row r="9" spans="1:50" x14ac:dyDescent="0.2">
      <c r="A9" s="17"/>
      <c r="D9" s="6">
        <v>21</v>
      </c>
      <c r="E9" s="6">
        <v>22</v>
      </c>
      <c r="F9" s="6">
        <v>23</v>
      </c>
      <c r="G9" s="6">
        <v>24</v>
      </c>
      <c r="H9" s="6">
        <v>25</v>
      </c>
      <c r="J9">
        <f t="shared" si="5"/>
        <v>0.32330000000000003</v>
      </c>
      <c r="K9">
        <f t="shared" si="0"/>
        <v>0.32330000000000003</v>
      </c>
      <c r="L9">
        <f t="shared" si="0"/>
        <v>0.32330000000000003</v>
      </c>
      <c r="M9">
        <f t="shared" si="0"/>
        <v>0.32330000000000003</v>
      </c>
      <c r="N9">
        <f t="shared" si="0"/>
        <v>0.32330000000000003</v>
      </c>
      <c r="P9">
        <f t="shared" si="6"/>
        <v>0.32330000000000003</v>
      </c>
      <c r="Q9">
        <f t="shared" si="1"/>
        <v>0.32330000000000003</v>
      </c>
      <c r="R9">
        <f t="shared" si="1"/>
        <v>0.32330000000000003</v>
      </c>
      <c r="S9">
        <f t="shared" si="1"/>
        <v>0.32330000000000003</v>
      </c>
      <c r="T9">
        <f t="shared" si="1"/>
        <v>0.32330000000000003</v>
      </c>
      <c r="V9">
        <f t="shared" si="7"/>
        <v>0.90769999999999995</v>
      </c>
      <c r="W9">
        <f t="shared" si="2"/>
        <v>0.90769999999999995</v>
      </c>
      <c r="X9">
        <f t="shared" si="2"/>
        <v>0.90769999999999995</v>
      </c>
      <c r="Y9">
        <f t="shared" si="2"/>
        <v>0.90769999999999995</v>
      </c>
      <c r="Z9">
        <f t="shared" si="2"/>
        <v>0.90769999999999995</v>
      </c>
      <c r="AB9">
        <f>0.2+2+0.25</f>
        <v>2.4500000000000002</v>
      </c>
      <c r="AC9">
        <f t="shared" ref="AC9:AF9" si="22">0.2+2+0.25</f>
        <v>2.4500000000000002</v>
      </c>
      <c r="AD9">
        <f t="shared" si="22"/>
        <v>2.4500000000000002</v>
      </c>
      <c r="AE9">
        <f t="shared" si="22"/>
        <v>2.4500000000000002</v>
      </c>
      <c r="AF9">
        <f t="shared" si="22"/>
        <v>2.4500000000000002</v>
      </c>
      <c r="AH9">
        <f>2+0.35</f>
        <v>2.35</v>
      </c>
      <c r="AI9">
        <f t="shared" ref="AI9:AL9" si="23">2+0.35</f>
        <v>2.35</v>
      </c>
      <c r="AJ9">
        <f t="shared" si="23"/>
        <v>2.35</v>
      </c>
      <c r="AK9">
        <f t="shared" si="23"/>
        <v>2.35</v>
      </c>
      <c r="AL9">
        <f t="shared" si="23"/>
        <v>2.35</v>
      </c>
      <c r="AN9">
        <f t="shared" si="10"/>
        <v>1.9</v>
      </c>
      <c r="AO9">
        <f t="shared" si="11"/>
        <v>2.4</v>
      </c>
      <c r="AP9">
        <f t="shared" si="12"/>
        <v>2.9</v>
      </c>
      <c r="AQ9">
        <f t="shared" si="13"/>
        <v>3.9</v>
      </c>
      <c r="AR9">
        <f t="shared" si="14"/>
        <v>4.9000000000000004</v>
      </c>
      <c r="AT9">
        <f t="shared" si="15"/>
        <v>0.5</v>
      </c>
      <c r="AU9">
        <f t="shared" si="16"/>
        <v>0.75</v>
      </c>
      <c r="AV9">
        <f>1</f>
        <v>1</v>
      </c>
      <c r="AW9">
        <f t="shared" si="17"/>
        <v>1.5</v>
      </c>
      <c r="AX9">
        <f>2</f>
        <v>2</v>
      </c>
    </row>
    <row r="11" spans="1:50" x14ac:dyDescent="0.2">
      <c r="A11" s="18" t="s">
        <v>7</v>
      </c>
      <c r="D11" s="6">
        <v>1</v>
      </c>
      <c r="E11" s="6">
        <v>2</v>
      </c>
      <c r="F11" s="6">
        <v>3</v>
      </c>
      <c r="G11" s="6">
        <v>4</v>
      </c>
      <c r="H11" s="6">
        <v>5</v>
      </c>
      <c r="J11">
        <f>0.5+(0.35*2+0.033)/10</f>
        <v>0.57330000000000003</v>
      </c>
      <c r="K11">
        <f t="shared" ref="K11:N15" si="24">0.5+(0.35*2+0.033)/10</f>
        <v>0.57330000000000003</v>
      </c>
      <c r="L11">
        <f t="shared" si="24"/>
        <v>0.57330000000000003</v>
      </c>
      <c r="M11">
        <f t="shared" si="24"/>
        <v>0.57330000000000003</v>
      </c>
      <c r="N11">
        <f t="shared" si="24"/>
        <v>0.57330000000000003</v>
      </c>
      <c r="P11">
        <f>0.5+(0.35*2+0.033)/10</f>
        <v>0.57330000000000003</v>
      </c>
      <c r="Q11">
        <f t="shared" ref="Q11:T15" si="25">0.5+(0.35*2+0.033)/10</f>
        <v>0.57330000000000003</v>
      </c>
      <c r="R11">
        <f t="shared" si="25"/>
        <v>0.57330000000000003</v>
      </c>
      <c r="S11">
        <f t="shared" si="25"/>
        <v>0.57330000000000003</v>
      </c>
      <c r="T11">
        <f t="shared" si="25"/>
        <v>0.57330000000000003</v>
      </c>
      <c r="V11">
        <f>0.5*3+(0.35*4+0.033*4+0.005*9)/10</f>
        <v>1.6577</v>
      </c>
      <c r="W11">
        <f t="shared" ref="W11:Z15" si="26">0.5*3+(0.35*4+0.033*4+0.005*9)/10</f>
        <v>1.6577</v>
      </c>
      <c r="X11">
        <f t="shared" si="26"/>
        <v>1.6577</v>
      </c>
      <c r="Y11">
        <f t="shared" si="26"/>
        <v>1.6577</v>
      </c>
      <c r="Z11">
        <f t="shared" si="26"/>
        <v>1.6577</v>
      </c>
      <c r="AB11">
        <f>0.2+0.25+0.25</f>
        <v>0.7</v>
      </c>
      <c r="AC11">
        <f t="shared" ref="AC11:AF11" si="27">0.2+0.25+0.25</f>
        <v>0.7</v>
      </c>
      <c r="AD11">
        <f t="shared" si="27"/>
        <v>0.7</v>
      </c>
      <c r="AE11">
        <f t="shared" si="27"/>
        <v>0.7</v>
      </c>
      <c r="AF11">
        <f t="shared" si="27"/>
        <v>0.7</v>
      </c>
      <c r="AH11">
        <f>0.25+0.35</f>
        <v>0.6</v>
      </c>
      <c r="AI11">
        <f t="shared" ref="AI11:AL11" si="28">0.25+0.35</f>
        <v>0.6</v>
      </c>
      <c r="AJ11">
        <f t="shared" si="28"/>
        <v>0.6</v>
      </c>
      <c r="AK11">
        <f t="shared" si="28"/>
        <v>0.6</v>
      </c>
      <c r="AL11">
        <f t="shared" si="28"/>
        <v>0.6</v>
      </c>
      <c r="AN11">
        <f>0.25*2+0.5*2+0.2*2</f>
        <v>1.9</v>
      </c>
      <c r="AO11">
        <f>0.25*2+0.75*2+0.2*2</f>
        <v>2.4</v>
      </c>
      <c r="AP11">
        <f>0.25*2+1*2+0.2*2</f>
        <v>2.9</v>
      </c>
      <c r="AQ11">
        <f>0.25*2+1.5*2+0.2*2</f>
        <v>3.9</v>
      </c>
      <c r="AR11">
        <f>0.25*2+2*2+0.2*2</f>
        <v>4.9000000000000004</v>
      </c>
      <c r="AT11">
        <f>0.5</f>
        <v>0.5</v>
      </c>
      <c r="AU11">
        <f>0.75</f>
        <v>0.75</v>
      </c>
      <c r="AV11">
        <f>1</f>
        <v>1</v>
      </c>
      <c r="AW11">
        <f>1.5</f>
        <v>1.5</v>
      </c>
      <c r="AX11">
        <f>2</f>
        <v>2</v>
      </c>
    </row>
    <row r="12" spans="1:50" x14ac:dyDescent="0.2">
      <c r="A12" s="18"/>
      <c r="D12" s="6">
        <v>6</v>
      </c>
      <c r="E12" s="6">
        <v>7</v>
      </c>
      <c r="F12" s="6">
        <v>8</v>
      </c>
      <c r="G12" s="6">
        <v>9</v>
      </c>
      <c r="H12" s="6">
        <v>10</v>
      </c>
      <c r="J12">
        <f t="shared" ref="J12:J15" si="29">0.5+(0.35*2+0.033)/10</f>
        <v>0.57330000000000003</v>
      </c>
      <c r="K12">
        <f t="shared" si="24"/>
        <v>0.57330000000000003</v>
      </c>
      <c r="L12">
        <f t="shared" si="24"/>
        <v>0.57330000000000003</v>
      </c>
      <c r="M12">
        <f t="shared" si="24"/>
        <v>0.57330000000000003</v>
      </c>
      <c r="N12">
        <f t="shared" si="24"/>
        <v>0.57330000000000003</v>
      </c>
      <c r="P12">
        <f t="shared" ref="P12:P15" si="30">0.5+(0.35*2+0.033)/10</f>
        <v>0.57330000000000003</v>
      </c>
      <c r="Q12">
        <f t="shared" si="25"/>
        <v>0.57330000000000003</v>
      </c>
      <c r="R12">
        <f t="shared" si="25"/>
        <v>0.57330000000000003</v>
      </c>
      <c r="S12">
        <f t="shared" si="25"/>
        <v>0.57330000000000003</v>
      </c>
      <c r="T12">
        <f t="shared" si="25"/>
        <v>0.57330000000000003</v>
      </c>
      <c r="V12">
        <f t="shared" ref="V12:V15" si="31">0.5*3+(0.35*4+0.033*4+0.005*9)/10</f>
        <v>1.6577</v>
      </c>
      <c r="W12">
        <f t="shared" si="26"/>
        <v>1.6577</v>
      </c>
      <c r="X12">
        <f t="shared" si="26"/>
        <v>1.6577</v>
      </c>
      <c r="Y12">
        <f t="shared" si="26"/>
        <v>1.6577</v>
      </c>
      <c r="Z12">
        <f t="shared" si="26"/>
        <v>1.6577</v>
      </c>
      <c r="AB12">
        <f>0.2+0.5+0.25</f>
        <v>0.95</v>
      </c>
      <c r="AC12">
        <f t="shared" ref="AC12:AF12" si="32">0.2+0.5+0.25</f>
        <v>0.95</v>
      </c>
      <c r="AD12">
        <f t="shared" si="32"/>
        <v>0.95</v>
      </c>
      <c r="AE12">
        <f t="shared" si="32"/>
        <v>0.95</v>
      </c>
      <c r="AF12">
        <f t="shared" si="32"/>
        <v>0.95</v>
      </c>
      <c r="AH12">
        <f>0.5+0.35</f>
        <v>0.85</v>
      </c>
      <c r="AI12">
        <f t="shared" ref="AI12:AL12" si="33">0.5+0.35</f>
        <v>0.85</v>
      </c>
      <c r="AJ12">
        <f t="shared" si="33"/>
        <v>0.85</v>
      </c>
      <c r="AK12">
        <f t="shared" si="33"/>
        <v>0.85</v>
      </c>
      <c r="AL12">
        <f t="shared" si="33"/>
        <v>0.85</v>
      </c>
      <c r="AN12">
        <f t="shared" ref="AN12:AN15" si="34">0.25*2+0.5*2+0.2*2</f>
        <v>1.9</v>
      </c>
      <c r="AO12">
        <f t="shared" ref="AO12:AO15" si="35">0.25*2+0.75*2+0.2*2</f>
        <v>2.4</v>
      </c>
      <c r="AP12">
        <f t="shared" ref="AP12:AP15" si="36">0.25*2+1*2+0.2*2</f>
        <v>2.9</v>
      </c>
      <c r="AQ12">
        <f t="shared" ref="AQ12:AQ15" si="37">0.25*2+1.5*2+0.2*2</f>
        <v>3.9</v>
      </c>
      <c r="AR12">
        <f t="shared" ref="AR12:AR15" si="38">0.25*2+2*2+0.2*2</f>
        <v>4.9000000000000004</v>
      </c>
      <c r="AT12">
        <f t="shared" ref="AT12:AT15" si="39">0.5</f>
        <v>0.5</v>
      </c>
      <c r="AU12">
        <f t="shared" ref="AU12:AU15" si="40">0.75</f>
        <v>0.75</v>
      </c>
      <c r="AV12">
        <f>1</f>
        <v>1</v>
      </c>
      <c r="AW12">
        <f t="shared" ref="AW12:AW15" si="41">1.5</f>
        <v>1.5</v>
      </c>
      <c r="AX12">
        <f>2</f>
        <v>2</v>
      </c>
    </row>
    <row r="13" spans="1:50" x14ac:dyDescent="0.2">
      <c r="A13" s="18"/>
      <c r="D13" s="6">
        <v>11</v>
      </c>
      <c r="E13" s="6">
        <v>12</v>
      </c>
      <c r="F13" s="6">
        <v>13</v>
      </c>
      <c r="G13" s="6">
        <v>14</v>
      </c>
      <c r="H13" s="6">
        <v>15</v>
      </c>
      <c r="J13">
        <f t="shared" si="29"/>
        <v>0.57330000000000003</v>
      </c>
      <c r="K13">
        <f t="shared" si="24"/>
        <v>0.57330000000000003</v>
      </c>
      <c r="L13">
        <f t="shared" si="24"/>
        <v>0.57330000000000003</v>
      </c>
      <c r="M13">
        <f t="shared" si="24"/>
        <v>0.57330000000000003</v>
      </c>
      <c r="N13">
        <f t="shared" si="24"/>
        <v>0.57330000000000003</v>
      </c>
      <c r="P13">
        <f t="shared" si="30"/>
        <v>0.57330000000000003</v>
      </c>
      <c r="Q13">
        <f t="shared" si="25"/>
        <v>0.57330000000000003</v>
      </c>
      <c r="R13">
        <f t="shared" si="25"/>
        <v>0.57330000000000003</v>
      </c>
      <c r="S13">
        <f t="shared" si="25"/>
        <v>0.57330000000000003</v>
      </c>
      <c r="T13">
        <f t="shared" si="25"/>
        <v>0.57330000000000003</v>
      </c>
      <c r="V13">
        <f t="shared" si="31"/>
        <v>1.6577</v>
      </c>
      <c r="W13">
        <f t="shared" si="26"/>
        <v>1.6577</v>
      </c>
      <c r="X13">
        <f t="shared" si="26"/>
        <v>1.6577</v>
      </c>
      <c r="Y13">
        <f t="shared" si="26"/>
        <v>1.6577</v>
      </c>
      <c r="Z13">
        <f t="shared" si="26"/>
        <v>1.6577</v>
      </c>
      <c r="AB13">
        <f>0.2+0.75+0.25</f>
        <v>1.2</v>
      </c>
      <c r="AC13">
        <f t="shared" ref="AC13:AF13" si="42">0.2+0.75+0.25</f>
        <v>1.2</v>
      </c>
      <c r="AD13">
        <f t="shared" si="42"/>
        <v>1.2</v>
      </c>
      <c r="AE13">
        <f t="shared" si="42"/>
        <v>1.2</v>
      </c>
      <c r="AF13">
        <f t="shared" si="42"/>
        <v>1.2</v>
      </c>
      <c r="AH13">
        <f>0.75+0.35</f>
        <v>1.1000000000000001</v>
      </c>
      <c r="AI13">
        <f t="shared" ref="AI13:AL13" si="43">0.75+0.35</f>
        <v>1.1000000000000001</v>
      </c>
      <c r="AJ13">
        <f t="shared" si="43"/>
        <v>1.1000000000000001</v>
      </c>
      <c r="AK13">
        <f t="shared" si="43"/>
        <v>1.1000000000000001</v>
      </c>
      <c r="AL13">
        <f t="shared" si="43"/>
        <v>1.1000000000000001</v>
      </c>
      <c r="AN13">
        <f t="shared" si="34"/>
        <v>1.9</v>
      </c>
      <c r="AO13">
        <f t="shared" si="35"/>
        <v>2.4</v>
      </c>
      <c r="AP13">
        <f t="shared" si="36"/>
        <v>2.9</v>
      </c>
      <c r="AQ13">
        <f t="shared" si="37"/>
        <v>3.9</v>
      </c>
      <c r="AR13">
        <f t="shared" si="38"/>
        <v>4.9000000000000004</v>
      </c>
      <c r="AT13">
        <f t="shared" si="39"/>
        <v>0.5</v>
      </c>
      <c r="AU13">
        <f t="shared" si="40"/>
        <v>0.75</v>
      </c>
      <c r="AV13">
        <f>1</f>
        <v>1</v>
      </c>
      <c r="AW13">
        <f t="shared" si="41"/>
        <v>1.5</v>
      </c>
      <c r="AX13">
        <f>2</f>
        <v>2</v>
      </c>
    </row>
    <row r="14" spans="1:50" x14ac:dyDescent="0.2">
      <c r="A14" s="18"/>
      <c r="D14" s="6">
        <v>16</v>
      </c>
      <c r="E14" s="6">
        <v>17</v>
      </c>
      <c r="F14" s="6">
        <v>18</v>
      </c>
      <c r="G14" s="6">
        <v>19</v>
      </c>
      <c r="H14" s="6">
        <v>20</v>
      </c>
      <c r="J14">
        <f t="shared" si="29"/>
        <v>0.57330000000000003</v>
      </c>
      <c r="K14">
        <f t="shared" si="24"/>
        <v>0.57330000000000003</v>
      </c>
      <c r="L14">
        <f t="shared" si="24"/>
        <v>0.57330000000000003</v>
      </c>
      <c r="M14">
        <f t="shared" si="24"/>
        <v>0.57330000000000003</v>
      </c>
      <c r="N14">
        <f t="shared" si="24"/>
        <v>0.57330000000000003</v>
      </c>
      <c r="P14">
        <f t="shared" si="30"/>
        <v>0.57330000000000003</v>
      </c>
      <c r="Q14">
        <f t="shared" si="25"/>
        <v>0.57330000000000003</v>
      </c>
      <c r="R14">
        <f t="shared" si="25"/>
        <v>0.57330000000000003</v>
      </c>
      <c r="S14">
        <f t="shared" si="25"/>
        <v>0.57330000000000003</v>
      </c>
      <c r="T14">
        <f t="shared" si="25"/>
        <v>0.57330000000000003</v>
      </c>
      <c r="V14">
        <f t="shared" si="31"/>
        <v>1.6577</v>
      </c>
      <c r="W14">
        <f t="shared" si="26"/>
        <v>1.6577</v>
      </c>
      <c r="X14">
        <f t="shared" si="26"/>
        <v>1.6577</v>
      </c>
      <c r="Y14">
        <f t="shared" si="26"/>
        <v>1.6577</v>
      </c>
      <c r="Z14">
        <f t="shared" si="26"/>
        <v>1.6577</v>
      </c>
      <c r="AB14">
        <f>0.2+1+0.25</f>
        <v>1.45</v>
      </c>
      <c r="AC14">
        <f t="shared" ref="AC14:AF14" si="44">0.2+1+0.25</f>
        <v>1.45</v>
      </c>
      <c r="AD14">
        <f t="shared" si="44"/>
        <v>1.45</v>
      </c>
      <c r="AE14">
        <f t="shared" si="44"/>
        <v>1.45</v>
      </c>
      <c r="AF14">
        <f t="shared" si="44"/>
        <v>1.45</v>
      </c>
      <c r="AH14">
        <f>1+0.35</f>
        <v>1.35</v>
      </c>
      <c r="AI14">
        <f t="shared" ref="AI14:AL14" si="45">1+0.35</f>
        <v>1.35</v>
      </c>
      <c r="AJ14">
        <f t="shared" si="45"/>
        <v>1.35</v>
      </c>
      <c r="AK14">
        <f t="shared" si="45"/>
        <v>1.35</v>
      </c>
      <c r="AL14">
        <f t="shared" si="45"/>
        <v>1.35</v>
      </c>
      <c r="AN14">
        <f t="shared" si="34"/>
        <v>1.9</v>
      </c>
      <c r="AO14">
        <f t="shared" si="35"/>
        <v>2.4</v>
      </c>
      <c r="AP14">
        <f t="shared" si="36"/>
        <v>2.9</v>
      </c>
      <c r="AQ14">
        <f t="shared" si="37"/>
        <v>3.9</v>
      </c>
      <c r="AR14">
        <f t="shared" si="38"/>
        <v>4.9000000000000004</v>
      </c>
      <c r="AT14">
        <f t="shared" si="39"/>
        <v>0.5</v>
      </c>
      <c r="AU14">
        <f t="shared" si="40"/>
        <v>0.75</v>
      </c>
      <c r="AV14">
        <f>1</f>
        <v>1</v>
      </c>
      <c r="AW14">
        <f t="shared" si="41"/>
        <v>1.5</v>
      </c>
      <c r="AX14">
        <f>2</f>
        <v>2</v>
      </c>
    </row>
    <row r="15" spans="1:50" x14ac:dyDescent="0.2">
      <c r="A15" s="18"/>
      <c r="D15" s="6">
        <v>21</v>
      </c>
      <c r="E15" s="6">
        <v>22</v>
      </c>
      <c r="F15" s="6">
        <v>23</v>
      </c>
      <c r="G15" s="6">
        <v>24</v>
      </c>
      <c r="H15" s="6">
        <v>25</v>
      </c>
      <c r="J15">
        <f t="shared" si="29"/>
        <v>0.57330000000000003</v>
      </c>
      <c r="K15">
        <f t="shared" si="24"/>
        <v>0.57330000000000003</v>
      </c>
      <c r="L15">
        <f t="shared" si="24"/>
        <v>0.57330000000000003</v>
      </c>
      <c r="M15">
        <f t="shared" si="24"/>
        <v>0.57330000000000003</v>
      </c>
      <c r="N15">
        <f t="shared" si="24"/>
        <v>0.57330000000000003</v>
      </c>
      <c r="P15">
        <f t="shared" si="30"/>
        <v>0.57330000000000003</v>
      </c>
      <c r="Q15">
        <f t="shared" si="25"/>
        <v>0.57330000000000003</v>
      </c>
      <c r="R15">
        <f t="shared" si="25"/>
        <v>0.57330000000000003</v>
      </c>
      <c r="S15">
        <f t="shared" si="25"/>
        <v>0.57330000000000003</v>
      </c>
      <c r="T15">
        <f t="shared" si="25"/>
        <v>0.57330000000000003</v>
      </c>
      <c r="V15">
        <f t="shared" si="31"/>
        <v>1.6577</v>
      </c>
      <c r="W15">
        <f t="shared" si="26"/>
        <v>1.6577</v>
      </c>
      <c r="X15">
        <f t="shared" si="26"/>
        <v>1.6577</v>
      </c>
      <c r="Y15">
        <f t="shared" si="26"/>
        <v>1.6577</v>
      </c>
      <c r="Z15">
        <f t="shared" si="26"/>
        <v>1.6577</v>
      </c>
      <c r="AB15">
        <f>0.2+2+0.25</f>
        <v>2.4500000000000002</v>
      </c>
      <c r="AC15">
        <f t="shared" ref="AC15:AF15" si="46">0.2+2+0.25</f>
        <v>2.4500000000000002</v>
      </c>
      <c r="AD15">
        <f t="shared" si="46"/>
        <v>2.4500000000000002</v>
      </c>
      <c r="AE15">
        <f t="shared" si="46"/>
        <v>2.4500000000000002</v>
      </c>
      <c r="AF15">
        <f t="shared" si="46"/>
        <v>2.4500000000000002</v>
      </c>
      <c r="AH15">
        <f>2+0.35</f>
        <v>2.35</v>
      </c>
      <c r="AI15">
        <f t="shared" ref="AI15:AL15" si="47">2+0.35</f>
        <v>2.35</v>
      </c>
      <c r="AJ15">
        <f t="shared" si="47"/>
        <v>2.35</v>
      </c>
      <c r="AK15">
        <f t="shared" si="47"/>
        <v>2.35</v>
      </c>
      <c r="AL15">
        <f t="shared" si="47"/>
        <v>2.35</v>
      </c>
      <c r="AN15">
        <f t="shared" si="34"/>
        <v>1.9</v>
      </c>
      <c r="AO15">
        <f t="shared" si="35"/>
        <v>2.4</v>
      </c>
      <c r="AP15">
        <f t="shared" si="36"/>
        <v>2.9</v>
      </c>
      <c r="AQ15">
        <f t="shared" si="37"/>
        <v>3.9</v>
      </c>
      <c r="AR15">
        <f t="shared" si="38"/>
        <v>4.9000000000000004</v>
      </c>
      <c r="AT15">
        <f t="shared" si="39"/>
        <v>0.5</v>
      </c>
      <c r="AU15">
        <f t="shared" si="40"/>
        <v>0.75</v>
      </c>
      <c r="AV15">
        <f>1</f>
        <v>1</v>
      </c>
      <c r="AW15">
        <f t="shared" si="41"/>
        <v>1.5</v>
      </c>
      <c r="AX15">
        <f>2</f>
        <v>2</v>
      </c>
    </row>
    <row r="17" spans="1:50" x14ac:dyDescent="0.2">
      <c r="A17" s="19" t="s">
        <v>8</v>
      </c>
      <c r="D17" s="6">
        <v>1</v>
      </c>
      <c r="E17" s="6">
        <v>2</v>
      </c>
      <c r="F17" s="6">
        <v>3</v>
      </c>
      <c r="G17" s="6">
        <v>4</v>
      </c>
      <c r="H17" s="6">
        <v>5</v>
      </c>
      <c r="J17">
        <f>0.75+(0.35*2+0.033)/10</f>
        <v>0.82330000000000003</v>
      </c>
      <c r="K17">
        <f t="shared" ref="K17:N21" si="48">0.75+(0.35*2+0.033)/10</f>
        <v>0.82330000000000003</v>
      </c>
      <c r="L17">
        <f t="shared" si="48"/>
        <v>0.82330000000000003</v>
      </c>
      <c r="M17">
        <f t="shared" si="48"/>
        <v>0.82330000000000003</v>
      </c>
      <c r="N17">
        <f t="shared" si="48"/>
        <v>0.82330000000000003</v>
      </c>
      <c r="P17">
        <f>0.75+(0.35*2+0.033)/10</f>
        <v>0.82330000000000003</v>
      </c>
      <c r="Q17">
        <f t="shared" ref="Q17:T21" si="49">0.75+(0.35*2+0.033)/10</f>
        <v>0.82330000000000003</v>
      </c>
      <c r="R17">
        <f t="shared" si="49"/>
        <v>0.82330000000000003</v>
      </c>
      <c r="S17">
        <f t="shared" si="49"/>
        <v>0.82330000000000003</v>
      </c>
      <c r="T17">
        <f t="shared" si="49"/>
        <v>0.82330000000000003</v>
      </c>
      <c r="V17">
        <f>0.75*3+(0.35*4+0.033*4+0.005*9)/10</f>
        <v>2.4077000000000002</v>
      </c>
      <c r="W17">
        <f t="shared" ref="W17:Z21" si="50">0.75*3+(0.35*4+0.033*4+0.005*9)/10</f>
        <v>2.4077000000000002</v>
      </c>
      <c r="X17">
        <f t="shared" si="50"/>
        <v>2.4077000000000002</v>
      </c>
      <c r="Y17">
        <f t="shared" si="50"/>
        <v>2.4077000000000002</v>
      </c>
      <c r="Z17">
        <f t="shared" si="50"/>
        <v>2.4077000000000002</v>
      </c>
      <c r="AB17">
        <f>0.2+0.25+0.25</f>
        <v>0.7</v>
      </c>
      <c r="AC17">
        <f t="shared" ref="AC17:AF17" si="51">0.2+0.25+0.25</f>
        <v>0.7</v>
      </c>
      <c r="AD17">
        <f t="shared" si="51"/>
        <v>0.7</v>
      </c>
      <c r="AE17">
        <f t="shared" si="51"/>
        <v>0.7</v>
      </c>
      <c r="AF17">
        <f t="shared" si="51"/>
        <v>0.7</v>
      </c>
      <c r="AH17">
        <f>0.25+0.35</f>
        <v>0.6</v>
      </c>
      <c r="AI17">
        <f t="shared" ref="AI17:AL17" si="52">0.25+0.35</f>
        <v>0.6</v>
      </c>
      <c r="AJ17">
        <f t="shared" si="52"/>
        <v>0.6</v>
      </c>
      <c r="AK17">
        <f t="shared" si="52"/>
        <v>0.6</v>
      </c>
      <c r="AL17">
        <f t="shared" si="52"/>
        <v>0.6</v>
      </c>
      <c r="AN17">
        <f>0.25*2+0.5*2+0.2*2</f>
        <v>1.9</v>
      </c>
      <c r="AO17">
        <f>0.25*2+0.75*2+0.2*2</f>
        <v>2.4</v>
      </c>
      <c r="AP17">
        <f>0.25*2+1*2+0.2*2</f>
        <v>2.9</v>
      </c>
      <c r="AQ17">
        <f>0.25*2+1.5*2+0.2*2</f>
        <v>3.9</v>
      </c>
      <c r="AR17">
        <f>0.25*2+2*2+0.2*2</f>
        <v>4.9000000000000004</v>
      </c>
      <c r="AT17">
        <f>0.5</f>
        <v>0.5</v>
      </c>
      <c r="AU17">
        <f>0.75</f>
        <v>0.75</v>
      </c>
      <c r="AV17">
        <f>1</f>
        <v>1</v>
      </c>
      <c r="AW17">
        <f>1.5</f>
        <v>1.5</v>
      </c>
      <c r="AX17">
        <f>2</f>
        <v>2</v>
      </c>
    </row>
    <row r="18" spans="1:50" x14ac:dyDescent="0.2">
      <c r="A18" s="19"/>
      <c r="D18" s="6">
        <v>6</v>
      </c>
      <c r="E18" s="6">
        <v>7</v>
      </c>
      <c r="F18" s="6">
        <v>8</v>
      </c>
      <c r="G18" s="6">
        <v>9</v>
      </c>
      <c r="H18" s="6">
        <v>10</v>
      </c>
      <c r="J18">
        <f t="shared" ref="J18:J21" si="53">0.75+(0.35*2+0.033)/10</f>
        <v>0.82330000000000003</v>
      </c>
      <c r="K18">
        <f t="shared" si="48"/>
        <v>0.82330000000000003</v>
      </c>
      <c r="L18">
        <f t="shared" si="48"/>
        <v>0.82330000000000003</v>
      </c>
      <c r="M18">
        <f t="shared" si="48"/>
        <v>0.82330000000000003</v>
      </c>
      <c r="N18">
        <f t="shared" si="48"/>
        <v>0.82330000000000003</v>
      </c>
      <c r="P18">
        <f t="shared" ref="P18:P21" si="54">0.75+(0.35*2+0.033)/10</f>
        <v>0.82330000000000003</v>
      </c>
      <c r="Q18">
        <f t="shared" si="49"/>
        <v>0.82330000000000003</v>
      </c>
      <c r="R18">
        <f t="shared" si="49"/>
        <v>0.82330000000000003</v>
      </c>
      <c r="S18">
        <f t="shared" si="49"/>
        <v>0.82330000000000003</v>
      </c>
      <c r="T18">
        <f t="shared" si="49"/>
        <v>0.82330000000000003</v>
      </c>
      <c r="V18">
        <f t="shared" ref="V18:V21" si="55">0.75*3+(0.35*4+0.033*4+0.005*9)/10</f>
        <v>2.4077000000000002</v>
      </c>
      <c r="W18">
        <f t="shared" si="50"/>
        <v>2.4077000000000002</v>
      </c>
      <c r="X18">
        <f t="shared" si="50"/>
        <v>2.4077000000000002</v>
      </c>
      <c r="Y18">
        <f t="shared" si="50"/>
        <v>2.4077000000000002</v>
      </c>
      <c r="Z18">
        <f t="shared" si="50"/>
        <v>2.4077000000000002</v>
      </c>
      <c r="AB18">
        <f>0.2+0.5+0.25</f>
        <v>0.95</v>
      </c>
      <c r="AC18">
        <f t="shared" ref="AC18:AF18" si="56">0.2+0.5+0.25</f>
        <v>0.95</v>
      </c>
      <c r="AD18">
        <f t="shared" si="56"/>
        <v>0.95</v>
      </c>
      <c r="AE18">
        <f t="shared" si="56"/>
        <v>0.95</v>
      </c>
      <c r="AF18">
        <f t="shared" si="56"/>
        <v>0.95</v>
      </c>
      <c r="AH18">
        <f>0.5+0.35</f>
        <v>0.85</v>
      </c>
      <c r="AI18">
        <f t="shared" ref="AI18:AL18" si="57">0.5+0.35</f>
        <v>0.85</v>
      </c>
      <c r="AJ18">
        <f t="shared" si="57"/>
        <v>0.85</v>
      </c>
      <c r="AK18">
        <f t="shared" si="57"/>
        <v>0.85</v>
      </c>
      <c r="AL18">
        <f t="shared" si="57"/>
        <v>0.85</v>
      </c>
      <c r="AN18">
        <f t="shared" ref="AN18:AN21" si="58">0.25*2+0.5*2+0.2*2</f>
        <v>1.9</v>
      </c>
      <c r="AO18">
        <f t="shared" ref="AO18:AO21" si="59">0.25*2+0.75*2+0.2*2</f>
        <v>2.4</v>
      </c>
      <c r="AP18">
        <f t="shared" ref="AP18:AP21" si="60">0.25*2+1*2+0.2*2</f>
        <v>2.9</v>
      </c>
      <c r="AQ18">
        <f t="shared" ref="AQ18:AQ21" si="61">0.25*2+1.5*2+0.2*2</f>
        <v>3.9</v>
      </c>
      <c r="AR18">
        <f t="shared" ref="AR18:AR21" si="62">0.25*2+2*2+0.2*2</f>
        <v>4.9000000000000004</v>
      </c>
      <c r="AT18">
        <f t="shared" ref="AT18:AT21" si="63">0.5</f>
        <v>0.5</v>
      </c>
      <c r="AU18">
        <f t="shared" ref="AU18:AU21" si="64">0.75</f>
        <v>0.75</v>
      </c>
      <c r="AV18">
        <f>1</f>
        <v>1</v>
      </c>
      <c r="AW18">
        <f t="shared" ref="AW18:AW21" si="65">1.5</f>
        <v>1.5</v>
      </c>
      <c r="AX18">
        <f>2</f>
        <v>2</v>
      </c>
    </row>
    <row r="19" spans="1:50" x14ac:dyDescent="0.2">
      <c r="A19" s="19"/>
      <c r="D19" s="6">
        <v>11</v>
      </c>
      <c r="E19" s="6">
        <v>12</v>
      </c>
      <c r="F19" s="6">
        <v>13</v>
      </c>
      <c r="G19" s="6">
        <v>14</v>
      </c>
      <c r="H19" s="6">
        <v>15</v>
      </c>
      <c r="J19">
        <f t="shared" si="53"/>
        <v>0.82330000000000003</v>
      </c>
      <c r="K19">
        <f t="shared" si="48"/>
        <v>0.82330000000000003</v>
      </c>
      <c r="L19">
        <f t="shared" si="48"/>
        <v>0.82330000000000003</v>
      </c>
      <c r="M19">
        <f t="shared" si="48"/>
        <v>0.82330000000000003</v>
      </c>
      <c r="N19">
        <f t="shared" si="48"/>
        <v>0.82330000000000003</v>
      </c>
      <c r="P19">
        <f t="shared" si="54"/>
        <v>0.82330000000000003</v>
      </c>
      <c r="Q19">
        <f t="shared" si="49"/>
        <v>0.82330000000000003</v>
      </c>
      <c r="R19">
        <f t="shared" si="49"/>
        <v>0.82330000000000003</v>
      </c>
      <c r="S19">
        <f t="shared" si="49"/>
        <v>0.82330000000000003</v>
      </c>
      <c r="T19">
        <f t="shared" si="49"/>
        <v>0.82330000000000003</v>
      </c>
      <c r="V19">
        <f t="shared" si="55"/>
        <v>2.4077000000000002</v>
      </c>
      <c r="W19">
        <f t="shared" si="50"/>
        <v>2.4077000000000002</v>
      </c>
      <c r="X19">
        <f t="shared" si="50"/>
        <v>2.4077000000000002</v>
      </c>
      <c r="Y19">
        <f t="shared" si="50"/>
        <v>2.4077000000000002</v>
      </c>
      <c r="Z19">
        <f t="shared" si="50"/>
        <v>2.4077000000000002</v>
      </c>
      <c r="AB19">
        <f>0.2+0.75+0.25</f>
        <v>1.2</v>
      </c>
      <c r="AC19">
        <f t="shared" ref="AC19:AF19" si="66">0.2+0.75+0.25</f>
        <v>1.2</v>
      </c>
      <c r="AD19">
        <f t="shared" si="66"/>
        <v>1.2</v>
      </c>
      <c r="AE19">
        <f t="shared" si="66"/>
        <v>1.2</v>
      </c>
      <c r="AF19">
        <f t="shared" si="66"/>
        <v>1.2</v>
      </c>
      <c r="AH19">
        <f>0.75+0.35</f>
        <v>1.1000000000000001</v>
      </c>
      <c r="AI19">
        <f t="shared" ref="AI19:AL19" si="67">0.75+0.35</f>
        <v>1.1000000000000001</v>
      </c>
      <c r="AJ19">
        <f t="shared" si="67"/>
        <v>1.1000000000000001</v>
      </c>
      <c r="AK19">
        <f t="shared" si="67"/>
        <v>1.1000000000000001</v>
      </c>
      <c r="AL19">
        <f t="shared" si="67"/>
        <v>1.1000000000000001</v>
      </c>
      <c r="AN19">
        <f t="shared" si="58"/>
        <v>1.9</v>
      </c>
      <c r="AO19">
        <f t="shared" si="59"/>
        <v>2.4</v>
      </c>
      <c r="AP19">
        <f t="shared" si="60"/>
        <v>2.9</v>
      </c>
      <c r="AQ19">
        <f t="shared" si="61"/>
        <v>3.9</v>
      </c>
      <c r="AR19">
        <f t="shared" si="62"/>
        <v>4.9000000000000004</v>
      </c>
      <c r="AT19">
        <f t="shared" si="63"/>
        <v>0.5</v>
      </c>
      <c r="AU19">
        <f t="shared" si="64"/>
        <v>0.75</v>
      </c>
      <c r="AV19">
        <f>1</f>
        <v>1</v>
      </c>
      <c r="AW19">
        <f t="shared" si="65"/>
        <v>1.5</v>
      </c>
      <c r="AX19">
        <f>2</f>
        <v>2</v>
      </c>
    </row>
    <row r="20" spans="1:50" x14ac:dyDescent="0.2">
      <c r="A20" s="19"/>
      <c r="D20" s="6">
        <v>16</v>
      </c>
      <c r="E20" s="6">
        <v>17</v>
      </c>
      <c r="F20" s="6">
        <v>18</v>
      </c>
      <c r="G20" s="6">
        <v>19</v>
      </c>
      <c r="H20" s="6">
        <v>20</v>
      </c>
      <c r="J20">
        <f t="shared" si="53"/>
        <v>0.82330000000000003</v>
      </c>
      <c r="K20">
        <f t="shared" si="48"/>
        <v>0.82330000000000003</v>
      </c>
      <c r="L20">
        <f t="shared" si="48"/>
        <v>0.82330000000000003</v>
      </c>
      <c r="M20">
        <f t="shared" si="48"/>
        <v>0.82330000000000003</v>
      </c>
      <c r="N20">
        <f t="shared" si="48"/>
        <v>0.82330000000000003</v>
      </c>
      <c r="P20">
        <f t="shared" si="54"/>
        <v>0.82330000000000003</v>
      </c>
      <c r="Q20">
        <f t="shared" si="49"/>
        <v>0.82330000000000003</v>
      </c>
      <c r="R20">
        <f t="shared" si="49"/>
        <v>0.82330000000000003</v>
      </c>
      <c r="S20">
        <f t="shared" si="49"/>
        <v>0.82330000000000003</v>
      </c>
      <c r="T20">
        <f t="shared" si="49"/>
        <v>0.82330000000000003</v>
      </c>
      <c r="V20">
        <f t="shared" si="55"/>
        <v>2.4077000000000002</v>
      </c>
      <c r="W20">
        <f t="shared" si="50"/>
        <v>2.4077000000000002</v>
      </c>
      <c r="X20">
        <f t="shared" si="50"/>
        <v>2.4077000000000002</v>
      </c>
      <c r="Y20">
        <f t="shared" si="50"/>
        <v>2.4077000000000002</v>
      </c>
      <c r="Z20">
        <f t="shared" si="50"/>
        <v>2.4077000000000002</v>
      </c>
      <c r="AB20">
        <f>0.2+1+0.25</f>
        <v>1.45</v>
      </c>
      <c r="AC20">
        <f t="shared" ref="AC20:AF20" si="68">0.2+1+0.25</f>
        <v>1.45</v>
      </c>
      <c r="AD20">
        <f t="shared" si="68"/>
        <v>1.45</v>
      </c>
      <c r="AE20">
        <f t="shared" si="68"/>
        <v>1.45</v>
      </c>
      <c r="AF20">
        <f t="shared" si="68"/>
        <v>1.45</v>
      </c>
      <c r="AH20">
        <f>1+0.35</f>
        <v>1.35</v>
      </c>
      <c r="AI20">
        <f t="shared" ref="AI20:AL20" si="69">1+0.35</f>
        <v>1.35</v>
      </c>
      <c r="AJ20">
        <f t="shared" si="69"/>
        <v>1.35</v>
      </c>
      <c r="AK20">
        <f t="shared" si="69"/>
        <v>1.35</v>
      </c>
      <c r="AL20">
        <f t="shared" si="69"/>
        <v>1.35</v>
      </c>
      <c r="AN20">
        <f t="shared" si="58"/>
        <v>1.9</v>
      </c>
      <c r="AO20">
        <f t="shared" si="59"/>
        <v>2.4</v>
      </c>
      <c r="AP20">
        <f t="shared" si="60"/>
        <v>2.9</v>
      </c>
      <c r="AQ20">
        <f t="shared" si="61"/>
        <v>3.9</v>
      </c>
      <c r="AR20">
        <f t="shared" si="62"/>
        <v>4.9000000000000004</v>
      </c>
      <c r="AT20">
        <f t="shared" si="63"/>
        <v>0.5</v>
      </c>
      <c r="AU20">
        <f t="shared" si="64"/>
        <v>0.75</v>
      </c>
      <c r="AV20">
        <f>1</f>
        <v>1</v>
      </c>
      <c r="AW20">
        <f t="shared" si="65"/>
        <v>1.5</v>
      </c>
      <c r="AX20">
        <f>2</f>
        <v>2</v>
      </c>
    </row>
    <row r="21" spans="1:50" x14ac:dyDescent="0.2">
      <c r="A21" s="19"/>
      <c r="D21" s="6">
        <v>21</v>
      </c>
      <c r="E21" s="6">
        <v>22</v>
      </c>
      <c r="F21" s="6">
        <v>23</v>
      </c>
      <c r="G21" s="6">
        <v>24</v>
      </c>
      <c r="H21" s="6">
        <v>25</v>
      </c>
      <c r="J21">
        <f t="shared" si="53"/>
        <v>0.82330000000000003</v>
      </c>
      <c r="K21">
        <f t="shared" si="48"/>
        <v>0.82330000000000003</v>
      </c>
      <c r="L21">
        <f t="shared" si="48"/>
        <v>0.82330000000000003</v>
      </c>
      <c r="M21">
        <f t="shared" si="48"/>
        <v>0.82330000000000003</v>
      </c>
      <c r="N21">
        <f t="shared" si="48"/>
        <v>0.82330000000000003</v>
      </c>
      <c r="P21">
        <f t="shared" si="54"/>
        <v>0.82330000000000003</v>
      </c>
      <c r="Q21">
        <f t="shared" si="49"/>
        <v>0.82330000000000003</v>
      </c>
      <c r="R21">
        <f t="shared" si="49"/>
        <v>0.82330000000000003</v>
      </c>
      <c r="S21">
        <f t="shared" si="49"/>
        <v>0.82330000000000003</v>
      </c>
      <c r="T21">
        <f t="shared" si="49"/>
        <v>0.82330000000000003</v>
      </c>
      <c r="V21">
        <f t="shared" si="55"/>
        <v>2.4077000000000002</v>
      </c>
      <c r="W21">
        <f t="shared" si="50"/>
        <v>2.4077000000000002</v>
      </c>
      <c r="X21">
        <f t="shared" si="50"/>
        <v>2.4077000000000002</v>
      </c>
      <c r="Y21">
        <f t="shared" si="50"/>
        <v>2.4077000000000002</v>
      </c>
      <c r="Z21">
        <f t="shared" si="50"/>
        <v>2.4077000000000002</v>
      </c>
      <c r="AB21">
        <f>0.2+2+0.25</f>
        <v>2.4500000000000002</v>
      </c>
      <c r="AC21">
        <f t="shared" ref="AC21:AF21" si="70">0.2+2+0.25</f>
        <v>2.4500000000000002</v>
      </c>
      <c r="AD21">
        <f t="shared" si="70"/>
        <v>2.4500000000000002</v>
      </c>
      <c r="AE21">
        <f t="shared" si="70"/>
        <v>2.4500000000000002</v>
      </c>
      <c r="AF21">
        <f t="shared" si="70"/>
        <v>2.4500000000000002</v>
      </c>
      <c r="AH21">
        <f>2+0.35</f>
        <v>2.35</v>
      </c>
      <c r="AI21">
        <f t="shared" ref="AI21:AL21" si="71">2+0.35</f>
        <v>2.35</v>
      </c>
      <c r="AJ21">
        <f t="shared" si="71"/>
        <v>2.35</v>
      </c>
      <c r="AK21">
        <f t="shared" si="71"/>
        <v>2.35</v>
      </c>
      <c r="AL21">
        <f t="shared" si="71"/>
        <v>2.35</v>
      </c>
      <c r="AN21">
        <f t="shared" si="58"/>
        <v>1.9</v>
      </c>
      <c r="AO21">
        <f t="shared" si="59"/>
        <v>2.4</v>
      </c>
      <c r="AP21">
        <f t="shared" si="60"/>
        <v>2.9</v>
      </c>
      <c r="AQ21">
        <f t="shared" si="61"/>
        <v>3.9</v>
      </c>
      <c r="AR21">
        <f t="shared" si="62"/>
        <v>4.9000000000000004</v>
      </c>
      <c r="AT21">
        <f t="shared" si="63"/>
        <v>0.5</v>
      </c>
      <c r="AU21">
        <f t="shared" si="64"/>
        <v>0.75</v>
      </c>
      <c r="AV21">
        <f>1</f>
        <v>1</v>
      </c>
      <c r="AW21">
        <f t="shared" si="65"/>
        <v>1.5</v>
      </c>
      <c r="AX21">
        <f>2</f>
        <v>2</v>
      </c>
    </row>
    <row r="23" spans="1:50" x14ac:dyDescent="0.2">
      <c r="A23" s="14" t="s">
        <v>9</v>
      </c>
      <c r="D23" s="6">
        <v>1</v>
      </c>
      <c r="E23" s="6">
        <v>2</v>
      </c>
      <c r="F23" s="6">
        <v>3</v>
      </c>
      <c r="G23" s="6">
        <v>4</v>
      </c>
      <c r="H23" s="6">
        <v>5</v>
      </c>
      <c r="J23">
        <f>1+(0.35*2+0.033)/10</f>
        <v>1.0732999999999999</v>
      </c>
      <c r="K23">
        <f t="shared" ref="K23:N27" si="72">1+(0.35*2+0.033)/10</f>
        <v>1.0732999999999999</v>
      </c>
      <c r="L23">
        <f t="shared" si="72"/>
        <v>1.0732999999999999</v>
      </c>
      <c r="M23">
        <f t="shared" si="72"/>
        <v>1.0732999999999999</v>
      </c>
      <c r="N23">
        <f t="shared" si="72"/>
        <v>1.0732999999999999</v>
      </c>
      <c r="P23">
        <f>1+(0.35*2+0.033)/10</f>
        <v>1.0732999999999999</v>
      </c>
      <c r="Q23">
        <f t="shared" ref="Q23:T27" si="73">1+(0.35*2+0.033)/10</f>
        <v>1.0732999999999999</v>
      </c>
      <c r="R23">
        <f t="shared" si="73"/>
        <v>1.0732999999999999</v>
      </c>
      <c r="S23">
        <f t="shared" si="73"/>
        <v>1.0732999999999999</v>
      </c>
      <c r="T23">
        <f t="shared" si="73"/>
        <v>1.0732999999999999</v>
      </c>
      <c r="V23">
        <f>1*3+(0.35*4+0.033*4+0.005*9)/10</f>
        <v>3.1577000000000002</v>
      </c>
      <c r="W23">
        <f t="shared" ref="W23:Z27" si="74">1*3+(0.35*4+0.033*4+0.005*9)/10</f>
        <v>3.1577000000000002</v>
      </c>
      <c r="X23">
        <f t="shared" si="74"/>
        <v>3.1577000000000002</v>
      </c>
      <c r="Y23">
        <f t="shared" si="74"/>
        <v>3.1577000000000002</v>
      </c>
      <c r="Z23">
        <f t="shared" si="74"/>
        <v>3.1577000000000002</v>
      </c>
      <c r="AB23">
        <f>0.2+0.25+0.25</f>
        <v>0.7</v>
      </c>
      <c r="AC23">
        <f t="shared" ref="AC23:AF23" si="75">0.2+0.25+0.25</f>
        <v>0.7</v>
      </c>
      <c r="AD23">
        <f t="shared" si="75"/>
        <v>0.7</v>
      </c>
      <c r="AE23">
        <f t="shared" si="75"/>
        <v>0.7</v>
      </c>
      <c r="AF23">
        <f t="shared" si="75"/>
        <v>0.7</v>
      </c>
      <c r="AH23">
        <f>0.25+0.35</f>
        <v>0.6</v>
      </c>
      <c r="AI23">
        <f t="shared" ref="AI23:AL23" si="76">0.25+0.35</f>
        <v>0.6</v>
      </c>
      <c r="AJ23">
        <f t="shared" si="76"/>
        <v>0.6</v>
      </c>
      <c r="AK23">
        <f t="shared" si="76"/>
        <v>0.6</v>
      </c>
      <c r="AL23">
        <f t="shared" si="76"/>
        <v>0.6</v>
      </c>
      <c r="AN23">
        <f>0.25*2+0.5*2+0.2*2</f>
        <v>1.9</v>
      </c>
      <c r="AO23">
        <f>0.25*2+0.75*2+0.2*2</f>
        <v>2.4</v>
      </c>
      <c r="AP23">
        <f>0.25*2+1*2+0.2*2</f>
        <v>2.9</v>
      </c>
      <c r="AQ23">
        <f>0.25*2+1.5*2+0.2*2</f>
        <v>3.9</v>
      </c>
      <c r="AR23">
        <f>0.25*2+2*2+0.2*2</f>
        <v>4.9000000000000004</v>
      </c>
      <c r="AT23">
        <f>0.5</f>
        <v>0.5</v>
      </c>
      <c r="AU23">
        <f>0.75</f>
        <v>0.75</v>
      </c>
      <c r="AV23">
        <f>1</f>
        <v>1</v>
      </c>
      <c r="AW23">
        <f>1.5</f>
        <v>1.5</v>
      </c>
      <c r="AX23">
        <f>2</f>
        <v>2</v>
      </c>
    </row>
    <row r="24" spans="1:50" x14ac:dyDescent="0.2">
      <c r="A24" s="14"/>
      <c r="D24" s="6">
        <v>6</v>
      </c>
      <c r="E24" s="6">
        <v>7</v>
      </c>
      <c r="F24" s="6">
        <v>8</v>
      </c>
      <c r="G24" s="6">
        <v>9</v>
      </c>
      <c r="H24" s="6">
        <v>10</v>
      </c>
      <c r="J24">
        <f t="shared" ref="J24:J27" si="77">1+(0.35*2+0.033)/10</f>
        <v>1.0732999999999999</v>
      </c>
      <c r="K24">
        <f t="shared" si="72"/>
        <v>1.0732999999999999</v>
      </c>
      <c r="L24">
        <f t="shared" si="72"/>
        <v>1.0732999999999999</v>
      </c>
      <c r="M24">
        <f t="shared" si="72"/>
        <v>1.0732999999999999</v>
      </c>
      <c r="N24">
        <f t="shared" si="72"/>
        <v>1.0732999999999999</v>
      </c>
      <c r="P24">
        <f t="shared" ref="P24:P27" si="78">1+(0.35*2+0.033)/10</f>
        <v>1.0732999999999999</v>
      </c>
      <c r="Q24">
        <f t="shared" si="73"/>
        <v>1.0732999999999999</v>
      </c>
      <c r="R24">
        <f t="shared" si="73"/>
        <v>1.0732999999999999</v>
      </c>
      <c r="S24">
        <f t="shared" si="73"/>
        <v>1.0732999999999999</v>
      </c>
      <c r="T24">
        <f t="shared" si="73"/>
        <v>1.0732999999999999</v>
      </c>
      <c r="V24">
        <f t="shared" ref="V24:V27" si="79">1*3+(0.35*4+0.033*4+0.005*9)/10</f>
        <v>3.1577000000000002</v>
      </c>
      <c r="W24">
        <f t="shared" si="74"/>
        <v>3.1577000000000002</v>
      </c>
      <c r="X24">
        <f t="shared" si="74"/>
        <v>3.1577000000000002</v>
      </c>
      <c r="Y24">
        <f t="shared" si="74"/>
        <v>3.1577000000000002</v>
      </c>
      <c r="Z24">
        <f t="shared" si="74"/>
        <v>3.1577000000000002</v>
      </c>
      <c r="AB24">
        <f>0.2+0.5+0.25</f>
        <v>0.95</v>
      </c>
      <c r="AC24">
        <f t="shared" ref="AC24:AF24" si="80">0.2+0.5+0.25</f>
        <v>0.95</v>
      </c>
      <c r="AD24">
        <f t="shared" si="80"/>
        <v>0.95</v>
      </c>
      <c r="AE24">
        <f t="shared" si="80"/>
        <v>0.95</v>
      </c>
      <c r="AF24">
        <f t="shared" si="80"/>
        <v>0.95</v>
      </c>
      <c r="AH24">
        <f>0.5+0.35</f>
        <v>0.85</v>
      </c>
      <c r="AI24">
        <f t="shared" ref="AI24:AL24" si="81">0.5+0.35</f>
        <v>0.85</v>
      </c>
      <c r="AJ24">
        <f t="shared" si="81"/>
        <v>0.85</v>
      </c>
      <c r="AK24">
        <f t="shared" si="81"/>
        <v>0.85</v>
      </c>
      <c r="AL24">
        <f t="shared" si="81"/>
        <v>0.85</v>
      </c>
      <c r="AN24">
        <f t="shared" ref="AN24:AN27" si="82">0.25*2+0.5*2+0.2*2</f>
        <v>1.9</v>
      </c>
      <c r="AO24">
        <f t="shared" ref="AO24:AO27" si="83">0.25*2+0.75*2+0.2*2</f>
        <v>2.4</v>
      </c>
      <c r="AP24">
        <f t="shared" ref="AP24:AP27" si="84">0.25*2+1*2+0.2*2</f>
        <v>2.9</v>
      </c>
      <c r="AQ24">
        <f t="shared" ref="AQ24:AQ27" si="85">0.25*2+1.5*2+0.2*2</f>
        <v>3.9</v>
      </c>
      <c r="AR24">
        <f t="shared" ref="AR24:AR27" si="86">0.25*2+2*2+0.2*2</f>
        <v>4.9000000000000004</v>
      </c>
      <c r="AT24">
        <f t="shared" ref="AT24:AT27" si="87">0.5</f>
        <v>0.5</v>
      </c>
      <c r="AU24">
        <f t="shared" ref="AU24:AU27" si="88">0.75</f>
        <v>0.75</v>
      </c>
      <c r="AV24">
        <f>1</f>
        <v>1</v>
      </c>
      <c r="AW24">
        <f t="shared" ref="AW24:AW27" si="89">1.5</f>
        <v>1.5</v>
      </c>
      <c r="AX24">
        <f>2</f>
        <v>2</v>
      </c>
    </row>
    <row r="25" spans="1:50" x14ac:dyDescent="0.2">
      <c r="A25" s="14"/>
      <c r="D25" s="6">
        <v>11</v>
      </c>
      <c r="E25" s="6">
        <v>12</v>
      </c>
      <c r="F25" s="6">
        <v>13</v>
      </c>
      <c r="G25" s="6">
        <v>14</v>
      </c>
      <c r="H25" s="6">
        <v>15</v>
      </c>
      <c r="J25">
        <f t="shared" si="77"/>
        <v>1.0732999999999999</v>
      </c>
      <c r="K25">
        <f t="shared" si="72"/>
        <v>1.0732999999999999</v>
      </c>
      <c r="L25">
        <f t="shared" si="72"/>
        <v>1.0732999999999999</v>
      </c>
      <c r="M25">
        <f t="shared" si="72"/>
        <v>1.0732999999999999</v>
      </c>
      <c r="N25">
        <f t="shared" si="72"/>
        <v>1.0732999999999999</v>
      </c>
      <c r="P25">
        <f t="shared" si="78"/>
        <v>1.0732999999999999</v>
      </c>
      <c r="Q25">
        <f t="shared" si="73"/>
        <v>1.0732999999999999</v>
      </c>
      <c r="R25">
        <f t="shared" si="73"/>
        <v>1.0732999999999999</v>
      </c>
      <c r="S25">
        <f t="shared" si="73"/>
        <v>1.0732999999999999</v>
      </c>
      <c r="T25">
        <f t="shared" si="73"/>
        <v>1.0732999999999999</v>
      </c>
      <c r="V25">
        <f t="shared" si="79"/>
        <v>3.1577000000000002</v>
      </c>
      <c r="W25">
        <f t="shared" si="74"/>
        <v>3.1577000000000002</v>
      </c>
      <c r="X25">
        <f t="shared" si="74"/>
        <v>3.1577000000000002</v>
      </c>
      <c r="Y25">
        <f t="shared" si="74"/>
        <v>3.1577000000000002</v>
      </c>
      <c r="Z25">
        <f t="shared" si="74"/>
        <v>3.1577000000000002</v>
      </c>
      <c r="AB25">
        <f>0.2+0.75+0.25</f>
        <v>1.2</v>
      </c>
      <c r="AC25">
        <f t="shared" ref="AC25:AF25" si="90">0.2+0.75+0.25</f>
        <v>1.2</v>
      </c>
      <c r="AD25">
        <f t="shared" si="90"/>
        <v>1.2</v>
      </c>
      <c r="AE25">
        <f t="shared" si="90"/>
        <v>1.2</v>
      </c>
      <c r="AF25">
        <f t="shared" si="90"/>
        <v>1.2</v>
      </c>
      <c r="AH25">
        <f>0.75+0.35</f>
        <v>1.1000000000000001</v>
      </c>
      <c r="AI25">
        <f t="shared" ref="AI25:AL25" si="91">0.75+0.35</f>
        <v>1.1000000000000001</v>
      </c>
      <c r="AJ25">
        <f t="shared" si="91"/>
        <v>1.1000000000000001</v>
      </c>
      <c r="AK25">
        <f t="shared" si="91"/>
        <v>1.1000000000000001</v>
      </c>
      <c r="AL25">
        <f t="shared" si="91"/>
        <v>1.1000000000000001</v>
      </c>
      <c r="AN25">
        <f t="shared" si="82"/>
        <v>1.9</v>
      </c>
      <c r="AO25">
        <f t="shared" si="83"/>
        <v>2.4</v>
      </c>
      <c r="AP25">
        <f t="shared" si="84"/>
        <v>2.9</v>
      </c>
      <c r="AQ25">
        <f t="shared" si="85"/>
        <v>3.9</v>
      </c>
      <c r="AR25">
        <f t="shared" si="86"/>
        <v>4.9000000000000004</v>
      </c>
      <c r="AT25">
        <f t="shared" si="87"/>
        <v>0.5</v>
      </c>
      <c r="AU25">
        <f t="shared" si="88"/>
        <v>0.75</v>
      </c>
      <c r="AV25">
        <f>1</f>
        <v>1</v>
      </c>
      <c r="AW25">
        <f t="shared" si="89"/>
        <v>1.5</v>
      </c>
      <c r="AX25">
        <f>2</f>
        <v>2</v>
      </c>
    </row>
    <row r="26" spans="1:50" x14ac:dyDescent="0.2">
      <c r="A26" s="14"/>
      <c r="D26" s="6">
        <v>16</v>
      </c>
      <c r="E26" s="6">
        <v>17</v>
      </c>
      <c r="F26" s="6">
        <v>18</v>
      </c>
      <c r="G26" s="6">
        <v>19</v>
      </c>
      <c r="H26" s="6">
        <v>20</v>
      </c>
      <c r="J26">
        <f t="shared" si="77"/>
        <v>1.0732999999999999</v>
      </c>
      <c r="K26">
        <f t="shared" si="72"/>
        <v>1.0732999999999999</v>
      </c>
      <c r="L26">
        <f t="shared" si="72"/>
        <v>1.0732999999999999</v>
      </c>
      <c r="M26">
        <f t="shared" si="72"/>
        <v>1.0732999999999999</v>
      </c>
      <c r="N26">
        <f t="shared" si="72"/>
        <v>1.0732999999999999</v>
      </c>
      <c r="P26">
        <f t="shared" si="78"/>
        <v>1.0732999999999999</v>
      </c>
      <c r="Q26">
        <f t="shared" si="73"/>
        <v>1.0732999999999999</v>
      </c>
      <c r="R26">
        <f t="shared" si="73"/>
        <v>1.0732999999999999</v>
      </c>
      <c r="S26">
        <f t="shared" si="73"/>
        <v>1.0732999999999999</v>
      </c>
      <c r="T26">
        <f t="shared" si="73"/>
        <v>1.0732999999999999</v>
      </c>
      <c r="V26">
        <f t="shared" si="79"/>
        <v>3.1577000000000002</v>
      </c>
      <c r="W26">
        <f t="shared" si="74"/>
        <v>3.1577000000000002</v>
      </c>
      <c r="X26">
        <f t="shared" si="74"/>
        <v>3.1577000000000002</v>
      </c>
      <c r="Y26">
        <f t="shared" si="74"/>
        <v>3.1577000000000002</v>
      </c>
      <c r="Z26">
        <f t="shared" si="74"/>
        <v>3.1577000000000002</v>
      </c>
      <c r="AB26">
        <f>0.2+1+0.25</f>
        <v>1.45</v>
      </c>
      <c r="AC26">
        <f t="shared" ref="AC26:AF26" si="92">0.2+1+0.25</f>
        <v>1.45</v>
      </c>
      <c r="AD26">
        <f t="shared" si="92"/>
        <v>1.45</v>
      </c>
      <c r="AE26">
        <f t="shared" si="92"/>
        <v>1.45</v>
      </c>
      <c r="AF26">
        <f t="shared" si="92"/>
        <v>1.45</v>
      </c>
      <c r="AH26">
        <f>1+0.35</f>
        <v>1.35</v>
      </c>
      <c r="AI26">
        <f t="shared" ref="AI26:AL26" si="93">1+0.35</f>
        <v>1.35</v>
      </c>
      <c r="AJ26">
        <f t="shared" si="93"/>
        <v>1.35</v>
      </c>
      <c r="AK26">
        <f t="shared" si="93"/>
        <v>1.35</v>
      </c>
      <c r="AL26">
        <f t="shared" si="93"/>
        <v>1.35</v>
      </c>
      <c r="AN26">
        <f t="shared" si="82"/>
        <v>1.9</v>
      </c>
      <c r="AO26">
        <f t="shared" si="83"/>
        <v>2.4</v>
      </c>
      <c r="AP26">
        <f t="shared" si="84"/>
        <v>2.9</v>
      </c>
      <c r="AQ26">
        <f t="shared" si="85"/>
        <v>3.9</v>
      </c>
      <c r="AR26">
        <f t="shared" si="86"/>
        <v>4.9000000000000004</v>
      </c>
      <c r="AT26">
        <f t="shared" si="87"/>
        <v>0.5</v>
      </c>
      <c r="AU26">
        <f t="shared" si="88"/>
        <v>0.75</v>
      </c>
      <c r="AV26">
        <f>1</f>
        <v>1</v>
      </c>
      <c r="AW26">
        <f t="shared" si="89"/>
        <v>1.5</v>
      </c>
      <c r="AX26">
        <f>2</f>
        <v>2</v>
      </c>
    </row>
    <row r="27" spans="1:50" x14ac:dyDescent="0.2">
      <c r="A27" s="14"/>
      <c r="D27" s="6">
        <v>21</v>
      </c>
      <c r="E27" s="6">
        <v>22</v>
      </c>
      <c r="F27" s="6">
        <v>23</v>
      </c>
      <c r="G27" s="6">
        <v>24</v>
      </c>
      <c r="H27" s="6">
        <v>25</v>
      </c>
      <c r="J27">
        <f t="shared" si="77"/>
        <v>1.0732999999999999</v>
      </c>
      <c r="K27">
        <f t="shared" si="72"/>
        <v>1.0732999999999999</v>
      </c>
      <c r="L27">
        <f t="shared" si="72"/>
        <v>1.0732999999999999</v>
      </c>
      <c r="M27">
        <f t="shared" si="72"/>
        <v>1.0732999999999999</v>
      </c>
      <c r="N27">
        <f t="shared" si="72"/>
        <v>1.0732999999999999</v>
      </c>
      <c r="P27">
        <f t="shared" si="78"/>
        <v>1.0732999999999999</v>
      </c>
      <c r="Q27">
        <f t="shared" si="73"/>
        <v>1.0732999999999999</v>
      </c>
      <c r="R27">
        <f t="shared" si="73"/>
        <v>1.0732999999999999</v>
      </c>
      <c r="S27">
        <f t="shared" si="73"/>
        <v>1.0732999999999999</v>
      </c>
      <c r="T27">
        <f t="shared" si="73"/>
        <v>1.0732999999999999</v>
      </c>
      <c r="V27">
        <f t="shared" si="79"/>
        <v>3.1577000000000002</v>
      </c>
      <c r="W27">
        <f t="shared" si="74"/>
        <v>3.1577000000000002</v>
      </c>
      <c r="X27">
        <f t="shared" si="74"/>
        <v>3.1577000000000002</v>
      </c>
      <c r="Y27">
        <f t="shared" si="74"/>
        <v>3.1577000000000002</v>
      </c>
      <c r="Z27">
        <f t="shared" si="74"/>
        <v>3.1577000000000002</v>
      </c>
      <c r="AB27">
        <f>0.2+2+0.25</f>
        <v>2.4500000000000002</v>
      </c>
      <c r="AC27">
        <f t="shared" ref="AC27:AF27" si="94">0.2+2+0.25</f>
        <v>2.4500000000000002</v>
      </c>
      <c r="AD27">
        <f t="shared" si="94"/>
        <v>2.4500000000000002</v>
      </c>
      <c r="AE27">
        <f t="shared" si="94"/>
        <v>2.4500000000000002</v>
      </c>
      <c r="AF27">
        <f t="shared" si="94"/>
        <v>2.4500000000000002</v>
      </c>
      <c r="AH27">
        <f>2+0.35</f>
        <v>2.35</v>
      </c>
      <c r="AI27">
        <f t="shared" ref="AI27:AL27" si="95">2+0.35</f>
        <v>2.35</v>
      </c>
      <c r="AJ27">
        <f t="shared" si="95"/>
        <v>2.35</v>
      </c>
      <c r="AK27">
        <f t="shared" si="95"/>
        <v>2.35</v>
      </c>
      <c r="AL27">
        <f t="shared" si="95"/>
        <v>2.35</v>
      </c>
      <c r="AN27">
        <f t="shared" si="82"/>
        <v>1.9</v>
      </c>
      <c r="AO27">
        <f t="shared" si="83"/>
        <v>2.4</v>
      </c>
      <c r="AP27">
        <f t="shared" si="84"/>
        <v>2.9</v>
      </c>
      <c r="AQ27">
        <f t="shared" si="85"/>
        <v>3.9</v>
      </c>
      <c r="AR27">
        <f t="shared" si="86"/>
        <v>4.9000000000000004</v>
      </c>
      <c r="AT27">
        <f t="shared" si="87"/>
        <v>0.5</v>
      </c>
      <c r="AU27">
        <f t="shared" si="88"/>
        <v>0.75</v>
      </c>
      <c r="AV27">
        <f>1</f>
        <v>1</v>
      </c>
      <c r="AW27">
        <f t="shared" si="89"/>
        <v>1.5</v>
      </c>
      <c r="AX27">
        <f>2</f>
        <v>2</v>
      </c>
    </row>
    <row r="29" spans="1:50" x14ac:dyDescent="0.2">
      <c r="A29" s="15" t="s">
        <v>10</v>
      </c>
      <c r="D29" s="6">
        <v>1</v>
      </c>
      <c r="E29" s="6">
        <v>2</v>
      </c>
      <c r="F29" s="6">
        <v>3</v>
      </c>
      <c r="G29" s="6">
        <v>4</v>
      </c>
      <c r="H29" s="6">
        <v>5</v>
      </c>
      <c r="J29">
        <f>2+(0.35*2+0.033)/10</f>
        <v>2.0733000000000001</v>
      </c>
      <c r="K29">
        <f t="shared" ref="K29:N33" si="96">2+(0.35*2+0.033)/10</f>
        <v>2.0733000000000001</v>
      </c>
      <c r="L29">
        <f t="shared" si="96"/>
        <v>2.0733000000000001</v>
      </c>
      <c r="M29">
        <f t="shared" si="96"/>
        <v>2.0733000000000001</v>
      </c>
      <c r="N29">
        <f t="shared" si="96"/>
        <v>2.0733000000000001</v>
      </c>
      <c r="P29">
        <f>2+(0.35*2+0.033)/10</f>
        <v>2.0733000000000001</v>
      </c>
      <c r="Q29">
        <f t="shared" ref="Q29:T33" si="97">2+(0.35*2+0.033)/10</f>
        <v>2.0733000000000001</v>
      </c>
      <c r="R29">
        <f t="shared" si="97"/>
        <v>2.0733000000000001</v>
      </c>
      <c r="S29">
        <f t="shared" si="97"/>
        <v>2.0733000000000001</v>
      </c>
      <c r="T29">
        <f t="shared" si="97"/>
        <v>2.0733000000000001</v>
      </c>
      <c r="V29">
        <f>2*3+(0.35*4+0.033*4+0.005*9)/10</f>
        <v>6.1577000000000002</v>
      </c>
      <c r="W29">
        <f t="shared" ref="W29:Z33" si="98">2*3+(0.35*4+0.033*4+0.005*9)/10</f>
        <v>6.1577000000000002</v>
      </c>
      <c r="X29">
        <f t="shared" si="98"/>
        <v>6.1577000000000002</v>
      </c>
      <c r="Y29">
        <f t="shared" si="98"/>
        <v>6.1577000000000002</v>
      </c>
      <c r="Z29">
        <f t="shared" si="98"/>
        <v>6.1577000000000002</v>
      </c>
      <c r="AB29">
        <f>0.2+0.25+0.25</f>
        <v>0.7</v>
      </c>
      <c r="AC29">
        <f t="shared" ref="AC29:AF29" si="99">0.2+0.25+0.25</f>
        <v>0.7</v>
      </c>
      <c r="AD29">
        <f t="shared" si="99"/>
        <v>0.7</v>
      </c>
      <c r="AE29">
        <f t="shared" si="99"/>
        <v>0.7</v>
      </c>
      <c r="AF29">
        <f t="shared" si="99"/>
        <v>0.7</v>
      </c>
      <c r="AH29">
        <f>0.25+0.35</f>
        <v>0.6</v>
      </c>
      <c r="AI29">
        <f t="shared" ref="AI29:AL29" si="100">0.25+0.35</f>
        <v>0.6</v>
      </c>
      <c r="AJ29">
        <f t="shared" si="100"/>
        <v>0.6</v>
      </c>
      <c r="AK29">
        <f t="shared" si="100"/>
        <v>0.6</v>
      </c>
      <c r="AL29">
        <f t="shared" si="100"/>
        <v>0.6</v>
      </c>
      <c r="AN29">
        <f>0.25*2+0.5*2+0.2*2</f>
        <v>1.9</v>
      </c>
      <c r="AO29">
        <f>0.25*2+0.75*2+0.2*2</f>
        <v>2.4</v>
      </c>
      <c r="AP29">
        <f>0.25*2+1*2+0.2*2</f>
        <v>2.9</v>
      </c>
      <c r="AQ29">
        <f>0.25*2+1.5*2+0.2*2</f>
        <v>3.9</v>
      </c>
      <c r="AR29">
        <f>0.25*2+2*2+0.2*2</f>
        <v>4.9000000000000004</v>
      </c>
      <c r="AT29">
        <f>0.5</f>
        <v>0.5</v>
      </c>
      <c r="AU29">
        <f>0.75</f>
        <v>0.75</v>
      </c>
      <c r="AV29">
        <f>1</f>
        <v>1</v>
      </c>
      <c r="AW29">
        <f>1.5</f>
        <v>1.5</v>
      </c>
      <c r="AX29">
        <f>2</f>
        <v>2</v>
      </c>
    </row>
    <row r="30" spans="1:50" x14ac:dyDescent="0.2">
      <c r="A30" s="15"/>
      <c r="D30" s="6">
        <v>6</v>
      </c>
      <c r="E30" s="6">
        <v>7</v>
      </c>
      <c r="F30" s="6">
        <v>8</v>
      </c>
      <c r="G30" s="6">
        <v>9</v>
      </c>
      <c r="H30" s="6">
        <v>10</v>
      </c>
      <c r="J30">
        <f t="shared" ref="J30:J33" si="101">2+(0.35*2+0.033)/10</f>
        <v>2.0733000000000001</v>
      </c>
      <c r="K30">
        <f t="shared" si="96"/>
        <v>2.0733000000000001</v>
      </c>
      <c r="L30">
        <f t="shared" si="96"/>
        <v>2.0733000000000001</v>
      </c>
      <c r="M30">
        <f t="shared" si="96"/>
        <v>2.0733000000000001</v>
      </c>
      <c r="N30">
        <f t="shared" si="96"/>
        <v>2.0733000000000001</v>
      </c>
      <c r="P30">
        <f t="shared" ref="P30:P33" si="102">2+(0.35*2+0.033)/10</f>
        <v>2.0733000000000001</v>
      </c>
      <c r="Q30">
        <f t="shared" si="97"/>
        <v>2.0733000000000001</v>
      </c>
      <c r="R30">
        <f t="shared" si="97"/>
        <v>2.0733000000000001</v>
      </c>
      <c r="S30">
        <f t="shared" si="97"/>
        <v>2.0733000000000001</v>
      </c>
      <c r="T30">
        <f t="shared" si="97"/>
        <v>2.0733000000000001</v>
      </c>
      <c r="V30">
        <f t="shared" ref="V30:V33" si="103">2*3+(0.35*4+0.033*4+0.005*9)/10</f>
        <v>6.1577000000000002</v>
      </c>
      <c r="W30">
        <f t="shared" si="98"/>
        <v>6.1577000000000002</v>
      </c>
      <c r="X30">
        <f t="shared" si="98"/>
        <v>6.1577000000000002</v>
      </c>
      <c r="Y30">
        <f t="shared" si="98"/>
        <v>6.1577000000000002</v>
      </c>
      <c r="Z30">
        <f t="shared" si="98"/>
        <v>6.1577000000000002</v>
      </c>
      <c r="AB30">
        <f>0.2+0.5+0.25</f>
        <v>0.95</v>
      </c>
      <c r="AC30">
        <f t="shared" ref="AC30:AF30" si="104">0.2+0.5+0.25</f>
        <v>0.95</v>
      </c>
      <c r="AD30">
        <f t="shared" si="104"/>
        <v>0.95</v>
      </c>
      <c r="AE30">
        <f t="shared" si="104"/>
        <v>0.95</v>
      </c>
      <c r="AF30">
        <f t="shared" si="104"/>
        <v>0.95</v>
      </c>
      <c r="AH30">
        <f>0.5+0.35</f>
        <v>0.85</v>
      </c>
      <c r="AI30">
        <f t="shared" ref="AI30:AL30" si="105">0.5+0.35</f>
        <v>0.85</v>
      </c>
      <c r="AJ30">
        <f t="shared" si="105"/>
        <v>0.85</v>
      </c>
      <c r="AK30">
        <f t="shared" si="105"/>
        <v>0.85</v>
      </c>
      <c r="AL30">
        <f t="shared" si="105"/>
        <v>0.85</v>
      </c>
      <c r="AN30">
        <f t="shared" ref="AN30:AN33" si="106">0.25*2+0.5*2+0.2*2</f>
        <v>1.9</v>
      </c>
      <c r="AO30">
        <f t="shared" ref="AO30:AO33" si="107">0.25*2+0.75*2+0.2*2</f>
        <v>2.4</v>
      </c>
      <c r="AP30">
        <f t="shared" ref="AP30:AP33" si="108">0.25*2+1*2+0.2*2</f>
        <v>2.9</v>
      </c>
      <c r="AQ30">
        <f t="shared" ref="AQ30:AQ33" si="109">0.25*2+1.5*2+0.2*2</f>
        <v>3.9</v>
      </c>
      <c r="AR30">
        <f t="shared" ref="AR30:AR33" si="110">0.25*2+2*2+0.2*2</f>
        <v>4.9000000000000004</v>
      </c>
      <c r="AT30">
        <f t="shared" ref="AT30:AT33" si="111">0.5</f>
        <v>0.5</v>
      </c>
      <c r="AU30">
        <f t="shared" ref="AU30:AU33" si="112">0.75</f>
        <v>0.75</v>
      </c>
      <c r="AV30">
        <f>1</f>
        <v>1</v>
      </c>
      <c r="AW30">
        <f t="shared" ref="AW30:AW33" si="113">1.5</f>
        <v>1.5</v>
      </c>
      <c r="AX30">
        <f>2</f>
        <v>2</v>
      </c>
    </row>
    <row r="31" spans="1:50" x14ac:dyDescent="0.2">
      <c r="A31" s="15"/>
      <c r="D31" s="6">
        <v>11</v>
      </c>
      <c r="E31" s="6">
        <v>12</v>
      </c>
      <c r="F31" s="6">
        <v>13</v>
      </c>
      <c r="G31" s="6">
        <v>14</v>
      </c>
      <c r="H31" s="6">
        <v>15</v>
      </c>
      <c r="J31">
        <f t="shared" si="101"/>
        <v>2.0733000000000001</v>
      </c>
      <c r="K31">
        <f t="shared" si="96"/>
        <v>2.0733000000000001</v>
      </c>
      <c r="L31">
        <f t="shared" si="96"/>
        <v>2.0733000000000001</v>
      </c>
      <c r="M31">
        <f t="shared" si="96"/>
        <v>2.0733000000000001</v>
      </c>
      <c r="N31">
        <f t="shared" si="96"/>
        <v>2.0733000000000001</v>
      </c>
      <c r="P31">
        <f t="shared" si="102"/>
        <v>2.0733000000000001</v>
      </c>
      <c r="Q31">
        <f t="shared" si="97"/>
        <v>2.0733000000000001</v>
      </c>
      <c r="R31">
        <f t="shared" si="97"/>
        <v>2.0733000000000001</v>
      </c>
      <c r="S31">
        <f t="shared" si="97"/>
        <v>2.0733000000000001</v>
      </c>
      <c r="T31">
        <f t="shared" si="97"/>
        <v>2.0733000000000001</v>
      </c>
      <c r="V31">
        <f t="shared" si="103"/>
        <v>6.1577000000000002</v>
      </c>
      <c r="W31">
        <f t="shared" si="98"/>
        <v>6.1577000000000002</v>
      </c>
      <c r="X31">
        <f t="shared" si="98"/>
        <v>6.1577000000000002</v>
      </c>
      <c r="Y31">
        <f t="shared" si="98"/>
        <v>6.1577000000000002</v>
      </c>
      <c r="Z31">
        <f t="shared" si="98"/>
        <v>6.1577000000000002</v>
      </c>
      <c r="AB31">
        <f>0.2+0.75+0.25</f>
        <v>1.2</v>
      </c>
      <c r="AC31">
        <f t="shared" ref="AC31:AF31" si="114">0.2+0.75+0.25</f>
        <v>1.2</v>
      </c>
      <c r="AD31">
        <f t="shared" si="114"/>
        <v>1.2</v>
      </c>
      <c r="AE31">
        <f t="shared" si="114"/>
        <v>1.2</v>
      </c>
      <c r="AF31">
        <f t="shared" si="114"/>
        <v>1.2</v>
      </c>
      <c r="AH31">
        <f>0.75+0.35</f>
        <v>1.1000000000000001</v>
      </c>
      <c r="AI31">
        <f t="shared" ref="AI31:AL31" si="115">0.75+0.35</f>
        <v>1.1000000000000001</v>
      </c>
      <c r="AJ31">
        <f t="shared" si="115"/>
        <v>1.1000000000000001</v>
      </c>
      <c r="AK31">
        <f t="shared" si="115"/>
        <v>1.1000000000000001</v>
      </c>
      <c r="AL31">
        <f t="shared" si="115"/>
        <v>1.1000000000000001</v>
      </c>
      <c r="AN31">
        <f t="shared" si="106"/>
        <v>1.9</v>
      </c>
      <c r="AO31">
        <f t="shared" si="107"/>
        <v>2.4</v>
      </c>
      <c r="AP31">
        <f t="shared" si="108"/>
        <v>2.9</v>
      </c>
      <c r="AQ31">
        <f t="shared" si="109"/>
        <v>3.9</v>
      </c>
      <c r="AR31">
        <f t="shared" si="110"/>
        <v>4.9000000000000004</v>
      </c>
      <c r="AT31">
        <f t="shared" si="111"/>
        <v>0.5</v>
      </c>
      <c r="AU31">
        <f t="shared" si="112"/>
        <v>0.75</v>
      </c>
      <c r="AV31">
        <f>1</f>
        <v>1</v>
      </c>
      <c r="AW31">
        <f t="shared" si="113"/>
        <v>1.5</v>
      </c>
      <c r="AX31">
        <f>2</f>
        <v>2</v>
      </c>
    </row>
    <row r="32" spans="1:50" x14ac:dyDescent="0.2">
      <c r="A32" s="15"/>
      <c r="D32" s="6">
        <v>16</v>
      </c>
      <c r="E32" s="6">
        <v>17</v>
      </c>
      <c r="F32" s="6">
        <v>18</v>
      </c>
      <c r="G32" s="6">
        <v>19</v>
      </c>
      <c r="H32" s="6">
        <v>20</v>
      </c>
      <c r="J32">
        <f t="shared" si="101"/>
        <v>2.0733000000000001</v>
      </c>
      <c r="K32">
        <f t="shared" si="96"/>
        <v>2.0733000000000001</v>
      </c>
      <c r="L32">
        <f t="shared" si="96"/>
        <v>2.0733000000000001</v>
      </c>
      <c r="M32">
        <f t="shared" si="96"/>
        <v>2.0733000000000001</v>
      </c>
      <c r="N32">
        <f t="shared" si="96"/>
        <v>2.0733000000000001</v>
      </c>
      <c r="P32">
        <f t="shared" si="102"/>
        <v>2.0733000000000001</v>
      </c>
      <c r="Q32">
        <f t="shared" si="97"/>
        <v>2.0733000000000001</v>
      </c>
      <c r="R32">
        <f t="shared" si="97"/>
        <v>2.0733000000000001</v>
      </c>
      <c r="S32">
        <f t="shared" si="97"/>
        <v>2.0733000000000001</v>
      </c>
      <c r="T32">
        <f t="shared" si="97"/>
        <v>2.0733000000000001</v>
      </c>
      <c r="V32">
        <f t="shared" si="103"/>
        <v>6.1577000000000002</v>
      </c>
      <c r="W32">
        <f t="shared" si="98"/>
        <v>6.1577000000000002</v>
      </c>
      <c r="X32">
        <f t="shared" si="98"/>
        <v>6.1577000000000002</v>
      </c>
      <c r="Y32">
        <f t="shared" si="98"/>
        <v>6.1577000000000002</v>
      </c>
      <c r="Z32">
        <f t="shared" si="98"/>
        <v>6.1577000000000002</v>
      </c>
      <c r="AB32">
        <f>0.2+1+0.25</f>
        <v>1.45</v>
      </c>
      <c r="AC32">
        <f t="shared" ref="AC32:AF32" si="116">0.2+1+0.25</f>
        <v>1.45</v>
      </c>
      <c r="AD32">
        <f t="shared" si="116"/>
        <v>1.45</v>
      </c>
      <c r="AE32">
        <f t="shared" si="116"/>
        <v>1.45</v>
      </c>
      <c r="AF32">
        <f t="shared" si="116"/>
        <v>1.45</v>
      </c>
      <c r="AH32">
        <f>1+0.35</f>
        <v>1.35</v>
      </c>
      <c r="AI32">
        <f t="shared" ref="AI32:AL32" si="117">1+0.35</f>
        <v>1.35</v>
      </c>
      <c r="AJ32">
        <f t="shared" si="117"/>
        <v>1.35</v>
      </c>
      <c r="AK32">
        <f t="shared" si="117"/>
        <v>1.35</v>
      </c>
      <c r="AL32">
        <f t="shared" si="117"/>
        <v>1.35</v>
      </c>
      <c r="AN32">
        <f t="shared" si="106"/>
        <v>1.9</v>
      </c>
      <c r="AO32">
        <f t="shared" si="107"/>
        <v>2.4</v>
      </c>
      <c r="AP32">
        <f t="shared" si="108"/>
        <v>2.9</v>
      </c>
      <c r="AQ32">
        <f t="shared" si="109"/>
        <v>3.9</v>
      </c>
      <c r="AR32">
        <f t="shared" si="110"/>
        <v>4.9000000000000004</v>
      </c>
      <c r="AT32">
        <f t="shared" si="111"/>
        <v>0.5</v>
      </c>
      <c r="AU32">
        <f t="shared" si="112"/>
        <v>0.75</v>
      </c>
      <c r="AV32">
        <f>1</f>
        <v>1</v>
      </c>
      <c r="AW32">
        <f t="shared" si="113"/>
        <v>1.5</v>
      </c>
      <c r="AX32">
        <f>2</f>
        <v>2</v>
      </c>
    </row>
    <row r="33" spans="1:50" x14ac:dyDescent="0.2">
      <c r="A33" s="15"/>
      <c r="D33" s="6">
        <v>21</v>
      </c>
      <c r="E33" s="6">
        <v>22</v>
      </c>
      <c r="F33" s="6">
        <v>23</v>
      </c>
      <c r="G33" s="6">
        <v>24</v>
      </c>
      <c r="H33" s="6">
        <v>25</v>
      </c>
      <c r="J33">
        <f t="shared" si="101"/>
        <v>2.0733000000000001</v>
      </c>
      <c r="K33">
        <f t="shared" si="96"/>
        <v>2.0733000000000001</v>
      </c>
      <c r="L33">
        <f t="shared" si="96"/>
        <v>2.0733000000000001</v>
      </c>
      <c r="M33">
        <f t="shared" si="96"/>
        <v>2.0733000000000001</v>
      </c>
      <c r="N33">
        <f t="shared" si="96"/>
        <v>2.0733000000000001</v>
      </c>
      <c r="P33">
        <f t="shared" si="102"/>
        <v>2.0733000000000001</v>
      </c>
      <c r="Q33">
        <f t="shared" si="97"/>
        <v>2.0733000000000001</v>
      </c>
      <c r="R33">
        <f t="shared" si="97"/>
        <v>2.0733000000000001</v>
      </c>
      <c r="S33">
        <f t="shared" si="97"/>
        <v>2.0733000000000001</v>
      </c>
      <c r="T33">
        <f t="shared" si="97"/>
        <v>2.0733000000000001</v>
      </c>
      <c r="V33">
        <f t="shared" si="103"/>
        <v>6.1577000000000002</v>
      </c>
      <c r="W33">
        <f t="shared" si="98"/>
        <v>6.1577000000000002</v>
      </c>
      <c r="X33">
        <f t="shared" si="98"/>
        <v>6.1577000000000002</v>
      </c>
      <c r="Y33">
        <f t="shared" si="98"/>
        <v>6.1577000000000002</v>
      </c>
      <c r="Z33">
        <f t="shared" si="98"/>
        <v>6.1577000000000002</v>
      </c>
      <c r="AB33">
        <f>0.2+2+0.25</f>
        <v>2.4500000000000002</v>
      </c>
      <c r="AC33">
        <f t="shared" ref="AC33:AF33" si="118">0.2+2+0.25</f>
        <v>2.4500000000000002</v>
      </c>
      <c r="AD33">
        <f t="shared" si="118"/>
        <v>2.4500000000000002</v>
      </c>
      <c r="AE33">
        <f t="shared" si="118"/>
        <v>2.4500000000000002</v>
      </c>
      <c r="AF33">
        <f t="shared" si="118"/>
        <v>2.4500000000000002</v>
      </c>
      <c r="AH33">
        <f>2+0.35</f>
        <v>2.35</v>
      </c>
      <c r="AI33">
        <f t="shared" ref="AI33:AL33" si="119">2+0.35</f>
        <v>2.35</v>
      </c>
      <c r="AJ33">
        <f t="shared" si="119"/>
        <v>2.35</v>
      </c>
      <c r="AK33">
        <f t="shared" si="119"/>
        <v>2.35</v>
      </c>
      <c r="AL33">
        <f t="shared" si="119"/>
        <v>2.35</v>
      </c>
      <c r="AN33">
        <f t="shared" si="106"/>
        <v>1.9</v>
      </c>
      <c r="AO33">
        <f t="shared" si="107"/>
        <v>2.4</v>
      </c>
      <c r="AP33">
        <f t="shared" si="108"/>
        <v>2.9</v>
      </c>
      <c r="AQ33">
        <f t="shared" si="109"/>
        <v>3.9</v>
      </c>
      <c r="AR33">
        <f t="shared" si="110"/>
        <v>4.9000000000000004</v>
      </c>
      <c r="AT33">
        <f t="shared" si="111"/>
        <v>0.5</v>
      </c>
      <c r="AU33">
        <f t="shared" si="112"/>
        <v>0.75</v>
      </c>
      <c r="AV33">
        <f>1</f>
        <v>1</v>
      </c>
      <c r="AW33">
        <f t="shared" si="113"/>
        <v>1.5</v>
      </c>
      <c r="AX33">
        <f>2</f>
        <v>2</v>
      </c>
    </row>
  </sheetData>
  <mergeCells count="5">
    <mergeCell ref="A5:A9"/>
    <mergeCell ref="A11:A15"/>
    <mergeCell ref="A17:A21"/>
    <mergeCell ref="A23:A27"/>
    <mergeCell ref="A29:A3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Recipe</vt:lpstr>
      <vt:lpstr>Concentrations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 Li</dc:creator>
  <cp:lastModifiedBy>Xiaoyan Li</cp:lastModifiedBy>
  <dcterms:created xsi:type="dcterms:W3CDTF">2021-02-26T23:41:05Z</dcterms:created>
  <dcterms:modified xsi:type="dcterms:W3CDTF">2025-07-01T08:57:33Z</dcterms:modified>
</cp:coreProperties>
</file>